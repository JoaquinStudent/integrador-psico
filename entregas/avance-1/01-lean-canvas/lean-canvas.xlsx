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NVAS" sheetId="1" r:id="rId4"/>
    <sheet state="hidden" name="CÁLCULOS" sheetId="2" r:id="rId5"/>
    <sheet state="hidden" name="sb" sheetId="3" r:id="rId6"/>
    <sheet state="visible" name="Hoja1" sheetId="4" r:id="rId7"/>
  </sheets>
  <externalReferences>
    <externalReference r:id="rId8"/>
  </externalReferences>
  <definedNames>
    <definedName localSheetId="0" name="ARRIBA3C">CANVAS!#REF!</definedName>
    <definedName localSheetId="0" name="ARRIBACANVAS">CANVAS!#REF!</definedName>
    <definedName localSheetId="0" name="CUADROCOMENTADO">CANVAS!#REF!</definedName>
    <definedName name="CUADROUNO">CANVAS!#REF!</definedName>
    <definedName localSheetId="0" name="infotresce">CANVAS!#REF!</definedName>
    <definedName name="InputsBalance_MY">[1]MultiYear!$H$121:$R$126,[1]MultiYear!$H$130:$R$133,[1]MultiYear!$H$137:$R$138,[1]MultiYear!$H$142:$R$142,[1]MultiYear!$H$144:$R$144,[1]MultiYear!$H$151:$R$157,[1]MultiYear!$H$161:$R$162,[1]MultiYear!$H$170:$R$172</definedName>
    <definedName name="InputsIncome_MY">[1]MultiYear!$H$77:$R$78,[1]MultiYear!$H$82:$R$83,[1]MultiYear!$H$89:$R$90,[1]MultiYear!$H$98:$R$99</definedName>
    <definedName name="InputsSCFP_MY">[1]MultiYear!$H$213:$R$213,[1]MultiYear!$H$221:$R$221,[1]MultiYear!$H$226:$R$226,[1]MultiYear!$H$228:$R$228,[1]MultiYear!$H$240:$R$241,[1]MultiYear!$H$243:$R$243,[1]MultiYear!$H$245:$R$245,[1]MultiYear!$H$247:$R$248</definedName>
    <definedName name="INFOCANVASTRES">#REF!</definedName>
    <definedName name="ARRIBAINI">#REF!</definedName>
    <definedName name="nomeses">sb!$B$13:$B$24</definedName>
    <definedName name="CANVASCANVAS">#REF!</definedName>
    <definedName name="CANVASUNO">CANVAS!$A$4:$A$59</definedName>
    <definedName name="ARRIBACANVAS">#REF!</definedName>
    <definedName name="INFOCANVASDOS">#REF!</definedName>
    <definedName name="CANVASDOS">#REF!</definedName>
    <definedName name="AMENAZARAS">'CÁLCULOS'!$B$15:$B$16</definedName>
    <definedName name="NUMES">sb!$D$13:$D$24</definedName>
    <definedName name="BUSCARMES">sb!$E$13:$E$24</definedName>
    <definedName name="infotresce">#REF!</definedName>
    <definedName name="ARRIBACANVASTRES">#REF!</definedName>
    <definedName name="INTENSIDAD">'CÁLCULOS'!$B$8:$B$12</definedName>
    <definedName name="CUADROCOMENTADO">#REF!</definedName>
    <definedName name="POSITION">'CÁLCULOS'!$B$19:$B$22</definedName>
    <definedName name="ARRIBA3C">#REF!</definedName>
    <definedName name="CANVAS">#REF!</definedName>
  </definedNames>
  <calcPr/>
  <extLst>
    <ext uri="GoogleSheetsCustomDataVersion2">
      <go:sheetsCustomData xmlns:go="http://customooxmlschemas.google.com/" r:id="rId9" roundtripDataChecksum="s3H9dc0J6VS7hBoa+diP4MOA/C+ZustUwH5UKA6JyKQ="/>
    </ext>
  </extLst>
</workbook>
</file>

<file path=xl/sharedStrings.xml><?xml version="1.0" encoding="utf-8"?>
<sst xmlns="http://schemas.openxmlformats.org/spreadsheetml/2006/main" count="47" uniqueCount="47">
  <si>
    <t>NO BORRAR NI OCULTAR</t>
  </si>
  <si>
    <t>INTENSIDAD</t>
  </si>
  <si>
    <t>AMENAZARAS</t>
  </si>
  <si>
    <t>MODELO CANVAS</t>
  </si>
  <si>
    <t xml:space="preserve"> ANÁLISIS de POSICIÓN (DAFO)</t>
  </si>
  <si>
    <t>NEGOCIO: Software de asistencia para psicólogos en la aplicación e interpretación de tests proyectivos de dibujo</t>
  </si>
  <si>
    <t>NOMBRE: PsicoGrama</t>
  </si>
  <si>
    <t>LOCALIZAR MES</t>
  </si>
  <si>
    <t>FECHA: 21/08/26</t>
  </si>
  <si>
    <t>Poniendo el primer mes en el índice, se desarrollan los demás</t>
  </si>
  <si>
    <t>POSITION</t>
  </si>
  <si>
    <t>Asociaciones clave</t>
  </si>
  <si>
    <t>Actividades clave</t>
  </si>
  <si>
    <t>Propuesta de valor</t>
  </si>
  <si>
    <t>LISTA</t>
  </si>
  <si>
    <t>Relación cliente</t>
  </si>
  <si>
    <t>RANGOS</t>
  </si>
  <si>
    <t>Clientes</t>
  </si>
  <si>
    <t>SELECCIÓN MESES</t>
  </si>
  <si>
    <t>nomeses</t>
  </si>
  <si>
    <t xml:space="preserve"> NUMES</t>
  </si>
  <si>
    <t>BUSCARMES</t>
  </si>
  <si>
    <t>Enero</t>
  </si>
  <si>
    <r>
      <rPr>
        <rFont val="Raleway"/>
        <color theme="1"/>
        <sz val="14.0"/>
      </rPr>
      <t xml:space="preserve">¿Quiénes son tus socios clave?
Colegio de Psicólogos del Perú
¿Quiénes son tus proveedores clave?
Universidades con facultad de Psicólogía
¿Qué recursos clave puedes adquirir de tus clientes?
1. Psicólogos clínicos colaboradores para aportar casos
reales de uso
2. Proveedores de nube e IA, servicios de hosting, API
de reconocimiento de escritura, transcripción </t>
    </r>
    <r>
      <rPr>
        <rFont val="Raleway"/>
        <b/>
        <color theme="1"/>
        <sz val="14.0"/>
      </rPr>
      <t xml:space="preserve">(STT)
</t>
    </r>
    <r>
      <rPr>
        <rFont val="Raleway"/>
        <color theme="1"/>
        <sz val="14.0"/>
      </rPr>
      <t xml:space="preserve">y modelo de lenguaje </t>
    </r>
    <r>
      <rPr>
        <rFont val="Raleway"/>
        <b/>
        <color theme="1"/>
        <sz val="14.0"/>
      </rPr>
      <t>(LLM)</t>
    </r>
    <r>
      <rPr>
        <rFont val="Raleway"/>
        <color theme="1"/>
        <sz val="14.0"/>
      </rPr>
      <t>.</t>
    </r>
  </si>
  <si>
    <r>
      <rPr>
        <rFont val="Raleway"/>
        <color theme="1"/>
        <sz val="14.0"/>
      </rPr>
      <t xml:space="preserve">¿Qué actividades clave requiere tu propuesta de valor?
1. Desarrollo y mantenimiento de las dos interfaces </t>
    </r>
    <r>
      <rPr>
        <rFont val="Raleway"/>
        <b/>
        <color theme="1"/>
        <sz val="14.0"/>
      </rPr>
      <t xml:space="preserve">(paciente - examinador)
</t>
    </r>
    <r>
      <rPr>
        <rFont val="Raleway"/>
        <color theme="1"/>
        <sz val="14.0"/>
      </rPr>
      <t>2. Modelado de las reglas de cada test y plantillas de informe
3. Afinamiento del reconocimiento de trazos y detección de elementos
4. Seguridad y privacidad de datos de salud
5. Captación, soporte y capacitación de psicólogos</t>
    </r>
  </si>
  <si>
    <r>
      <rPr>
        <rFont val="Raleway"/>
        <color theme="1"/>
        <sz val="14.0"/>
      </rPr>
      <t xml:space="preserve">¿Qué valor añadido entregas a tus clientes?
El copiloto del psicólogo para tests de dibujo: reduce el tiempo del informe y estandariza los criterios. Único que analiza el proceso del trazo </t>
    </r>
    <r>
      <rPr>
        <rFont val="Raleway"/>
        <b/>
        <color theme="1"/>
        <sz val="14.0"/>
      </rPr>
      <t>(tamaño, presión, orden, tiempo)</t>
    </r>
    <r>
      <rPr>
        <rFont val="Raleway"/>
        <color theme="1"/>
        <sz val="14.0"/>
      </rPr>
      <t>, no solo la foto.
¿Qué problemas estás resolviendo?
Preguntadas guiadas del test + grabadora que transcribe y ordena la sesión. Entrega un borrador de informe en el formato del test, listo para validar.
¿En qué te diferencias de tu competencia?
Analiza el dibujo real; la competencia solo rellena formularios. Lo potencia, no lo reemplaza.</t>
    </r>
  </si>
  <si>
    <t>1. Autoservicio con onboarding y prueba gratuita
2. Soporte y capacitación en línea
3. Comunidad de psicólogos usuarios + feedback continuo</t>
  </si>
  <si>
    <r>
      <rPr>
        <rFont val="Raleway"/>
        <color theme="1"/>
        <sz val="14.0"/>
      </rPr>
      <t xml:space="preserve">1. Psicólogos clínicos independientes
2. Centros y clínicas de psicología
3. Early adopters: psicólogos jóvenes, con tablet y alta carga de informes
4. Nichos siguientes: </t>
    </r>
    <r>
      <rPr>
        <rFont val="Raleway"/>
        <b/>
        <color theme="1"/>
        <sz val="14.0"/>
      </rPr>
      <t>RR.HH</t>
    </r>
    <r>
      <rPr>
        <rFont val="Raleway"/>
        <color theme="1"/>
        <sz val="14.0"/>
      </rPr>
      <t xml:space="preserve"> o </t>
    </r>
    <r>
      <rPr>
        <rFont val="Raleway"/>
        <b/>
        <color theme="1"/>
        <sz val="14.0"/>
      </rPr>
      <t>Psicolaboral y Colegios</t>
    </r>
  </si>
  <si>
    <t>Febrero</t>
  </si>
  <si>
    <t>Marzo</t>
  </si>
  <si>
    <t>Abril</t>
  </si>
  <si>
    <t>Mayo</t>
  </si>
  <si>
    <t>Junio</t>
  </si>
  <si>
    <t>Julio</t>
  </si>
  <si>
    <t>Agosto</t>
  </si>
  <si>
    <t>Septiembre</t>
  </si>
  <si>
    <t>Octubre</t>
  </si>
  <si>
    <t>Noviembre</t>
  </si>
  <si>
    <t>Diciembre</t>
  </si>
  <si>
    <t>Recursos clave</t>
  </si>
  <si>
    <t>Canales</t>
  </si>
  <si>
    <t>Tipos de recursos de los que dispones:
1. Core técnico Ink ya construido
2. Equipo de desarrollo
3. Dataset de dibujos etiquetados
4. Manuales de los tests + asesoría clínica de psicólogos
5. Infraestructura en la nube</t>
  </si>
  <si>
    <r>
      <rPr>
        <rFont val="Raleway"/>
        <color theme="1"/>
        <sz val="14.0"/>
      </rPr>
      <t xml:space="preserve">1. Plataforma web/app </t>
    </r>
    <r>
      <rPr>
        <rFont val="Raleway"/>
        <b/>
        <color theme="1"/>
        <sz val="14.0"/>
      </rPr>
      <t>(SaaS)</t>
    </r>
    <r>
      <rPr>
        <rFont val="Raleway"/>
        <color theme="1"/>
        <sz val="14.0"/>
      </rPr>
      <t xml:space="preserve"> - online
2. Colegio de Psicólogos, congresos y redes profesionales
3. Universidades </t>
    </r>
    <r>
      <rPr>
        <rFont val="Raleway"/>
        <b/>
        <color theme="1"/>
        <sz val="14.0"/>
      </rPr>
      <t>(facultades de psicología)</t>
    </r>
    <r>
      <rPr>
        <rFont val="Raleway"/>
        <color theme="1"/>
        <sz val="14.0"/>
      </rPr>
      <t xml:space="preserve">
4. Demo gratuita + contacto directo</t>
    </r>
  </si>
  <si>
    <t>Estructura de costes</t>
  </si>
  <si>
    <t>Fuentes de ingreso</t>
  </si>
  <si>
    <t>1. Infraestructura cloud + APIs para el reconocimiento, transcripción y LLM
2. Desarrollo y mantenimiento del software de Seguridad y Cumplimiento de Datos de Salud
3. Marketing y captación de usuarios</t>
  </si>
  <si>
    <r>
      <rPr>
        <rFont val="Raleway"/>
        <color theme="1"/>
        <sz val="14.0"/>
      </rPr>
      <t xml:space="preserve">1. Suscripción </t>
    </r>
    <r>
      <rPr>
        <rFont val="Raleway"/>
        <b/>
        <color theme="1"/>
        <sz val="14.0"/>
      </rPr>
      <t>SaaS</t>
    </r>
    <r>
      <rPr>
        <rFont val="Raleway"/>
        <color theme="1"/>
        <sz val="14.0"/>
      </rPr>
      <t xml:space="preserve"> mensual / anual por psicólogo
2. Planes por clínica </t>
    </r>
    <r>
      <rPr>
        <rFont val="Raleway"/>
        <b/>
        <color theme="1"/>
        <sz val="14.0"/>
      </rPr>
      <t xml:space="preserve">(multiusuario)
</t>
    </r>
    <r>
      <rPr>
        <rFont val="Raleway"/>
        <color theme="1"/>
        <sz val="14.0"/>
      </rPr>
      <t xml:space="preserve">3. Paquetes de tests / informes premium
4. Métodos de pago: tarjeta y transferencia
5. Modelo freemium </t>
    </r>
    <r>
      <rPr>
        <rFont val="Raleway"/>
        <b/>
        <color theme="1"/>
        <sz val="14.0"/>
      </rPr>
      <t>(prueba gratuita -&gt; pago)</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</si>
</sst>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C0A]mmm\-yy"/>
    <numFmt numFmtId="165" formatCode="[$-F800]dddd\,\ mmmm\ dd\,\ yyyy"/>
  </numFmts>
  <fonts count="18">
    <font>
      <sz val="10.0"/>
      <color rgb="FF000000"/>
      <name val="Arial"/>
      <scheme val="minor"/>
    </font>
    <font>
      <sz val="10.0"/>
      <color theme="1"/>
      <name val="Arial"/>
    </font>
    <font>
      <sz val="10.0"/>
      <color theme="1"/>
      <name val="Verdana"/>
    </font>
    <font>
      <sz val="14.0"/>
      <color theme="1"/>
      <name val="Calibri"/>
    </font>
    <font>
      <b/>
      <sz val="12.0"/>
      <color rgb="FFFFFFFF"/>
      <name val="Verdana"/>
    </font>
    <font/>
    <font>
      <sz val="14.0"/>
      <color theme="1"/>
      <name val="Raleway"/>
    </font>
    <font>
      <b/>
      <sz val="24.0"/>
      <color rgb="FF548DD4"/>
      <name val="Raleway"/>
    </font>
    <font>
      <b/>
      <sz val="16.0"/>
      <color theme="1"/>
      <name val="Raleway"/>
    </font>
    <font>
      <sz val="10.0"/>
      <color theme="1"/>
      <name val="Tahoma"/>
    </font>
    <font>
      <b/>
      <sz val="17.0"/>
      <color theme="1"/>
      <name val="Raleway"/>
    </font>
    <font>
      <b/>
      <sz val="11.0"/>
      <color rgb="FFFF0000"/>
      <name val="Tahoma"/>
    </font>
    <font>
      <b/>
      <sz val="12.0"/>
      <color rgb="FFFF0000"/>
      <name val="Tahoma"/>
    </font>
    <font>
      <b/>
      <sz val="18.0"/>
      <color rgb="FF548DD4"/>
      <name val="Raleway"/>
    </font>
    <font>
      <sz val="8.0"/>
      <color theme="1"/>
      <name val="Tahoma"/>
    </font>
    <font>
      <b/>
      <sz val="10.0"/>
      <color theme="1"/>
      <name val="Tahoma"/>
    </font>
    <font>
      <sz val="8.0"/>
      <color rgb="FF808080"/>
      <name val="Arial"/>
    </font>
    <font>
      <b/>
      <sz val="14.0"/>
      <color theme="1"/>
      <name val="Raleway"/>
    </font>
  </fonts>
  <fills count="7">
    <fill>
      <patternFill patternType="none"/>
    </fill>
    <fill>
      <patternFill patternType="lightGray"/>
    </fill>
    <fill>
      <patternFill patternType="solid">
        <fgColor rgb="FFFF0000"/>
        <bgColor rgb="FFFF0000"/>
      </patternFill>
    </fill>
    <fill>
      <patternFill patternType="solid">
        <fgColor rgb="FFEBF1DE"/>
        <bgColor rgb="FFEBF1DE"/>
      </patternFill>
    </fill>
    <fill>
      <patternFill patternType="solid">
        <fgColor rgb="FFEAF1DD"/>
        <bgColor rgb="FFEAF1DD"/>
      </patternFill>
    </fill>
    <fill>
      <patternFill patternType="solid">
        <fgColor rgb="FFDDD9C3"/>
        <bgColor rgb="FFDDD9C3"/>
      </patternFill>
    </fill>
    <fill>
      <patternFill patternType="solid">
        <fgColor theme="0"/>
        <bgColor theme="0"/>
      </patternFill>
    </fill>
  </fills>
  <borders count="79">
    <border/>
    <border>
      <left/>
      <top/>
      <bottom/>
    </border>
    <border>
      <top/>
      <bottom/>
    </border>
    <border>
      <left style="medium">
        <color rgb="FF000000"/>
      </left>
      <top style="medium">
        <color rgb="FF000000"/>
      </top>
    </border>
    <border>
      <left style="thin">
        <color rgb="FF000000"/>
      </left>
      <right style="thin">
        <color rgb="FF000000"/>
      </right>
      <top style="thin">
        <color rgb="FF000000"/>
      </top>
      <bottom/>
    </border>
    <border>
      <top style="medium">
        <color rgb="FF000000"/>
      </top>
    </border>
    <border>
      <left style="thin">
        <color rgb="FF000000"/>
      </left>
      <right style="thin">
        <color rgb="FF000000"/>
      </right>
      <top style="medium">
        <color rgb="FF000000"/>
      </top>
    </border>
    <border>
      <left style="thin">
        <color rgb="FF000000"/>
      </left>
      <right style="thin">
        <color rgb="FF000000"/>
      </right>
      <top/>
      <bottom/>
    </border>
    <border>
      <right style="medium">
        <color rgb="FF000000"/>
      </right>
      <top style="medium">
        <color rgb="FF000000"/>
      </top>
    </border>
    <border>
      <left style="thin">
        <color rgb="FF000000"/>
      </left>
      <right style="thin">
        <color rgb="FF000000"/>
      </right>
      <top/>
      <bottom style="thin">
        <color rgb="FF000000"/>
      </bottom>
    </border>
    <border>
      <left style="medium">
        <color rgb="FF000000"/>
      </left>
    </border>
    <border>
      <left/>
      <right/>
      <top/>
      <bottom/>
    </border>
    <border>
      <right/>
    </border>
    <border>
      <left style="thin">
        <color rgb="FF000000"/>
      </left>
      <right style="thin">
        <color rgb="FF000000"/>
      </right>
    </border>
    <border>
      <right style="medium">
        <color rgb="FF000000"/>
      </right>
    </border>
    <border>
      <left style="thin">
        <color rgb="FFBFBFBF"/>
      </left>
      <right/>
      <top/>
      <bottom/>
    </border>
    <border>
      <left style="thin">
        <color rgb="FF000000"/>
      </left>
      <right style="thin">
        <color rgb="FF000000"/>
      </right>
      <top style="thin">
        <color rgb="FF000000"/>
      </top>
      <bottom style="thin">
        <color rgb="FF000000"/>
      </bottom>
    </border>
    <border>
      <left style="medium">
        <color rgb="FF000000"/>
      </left>
      <right/>
      <top/>
      <bottom style="medium">
        <color rgb="FF000000"/>
      </bottom>
    </border>
    <border>
      <right/>
      <bottom style="medium">
        <color rgb="FF000000"/>
      </bottom>
    </border>
    <border>
      <left/>
      <right/>
      <top/>
      <bottom style="medium">
        <color rgb="FF000000"/>
      </bottom>
    </border>
    <border>
      <left style="thin">
        <color rgb="FF000000"/>
      </left>
      <right style="thin">
        <color rgb="FF000000"/>
      </right>
      <top/>
      <bottom style="medium">
        <color rgb="FF000000"/>
      </bottom>
    </border>
    <border>
      <left/>
      <right style="medium">
        <color rgb="FF000000"/>
      </right>
      <top/>
      <bottom style="medium">
        <color rgb="FF000000"/>
      </bottom>
    </border>
    <border>
      <left style="thin">
        <color rgb="FF7F7F7F"/>
      </left>
      <right/>
      <top/>
      <bottom/>
    </border>
    <border>
      <left style="medium">
        <color rgb="FF000000"/>
      </left>
      <right/>
      <top style="medium">
        <color rgb="FF000000"/>
      </top>
      <bottom/>
    </border>
    <border>
      <left/>
      <right/>
      <top style="medium">
        <color rgb="FF000000"/>
      </top>
      <bottom/>
    </border>
    <border>
      <left/>
      <right style="thin">
        <color rgb="FFA5A5A5"/>
      </right>
      <top style="medium">
        <color rgb="FF000000"/>
      </top>
      <bottom/>
    </border>
    <border>
      <left style="thin">
        <color rgb="FFA5A5A5"/>
      </left>
      <right/>
      <top style="medium">
        <color rgb="FF000000"/>
      </top>
      <bottom/>
    </border>
    <border>
      <left style="medium">
        <color rgb="FF7F7F7F"/>
      </left>
      <right/>
      <top style="medium">
        <color rgb="FF000000"/>
      </top>
      <bottom/>
    </border>
    <border>
      <left/>
      <right style="medium">
        <color rgb="FF7F7F7F"/>
      </right>
      <top style="medium">
        <color rgb="FF000000"/>
      </top>
      <bottom/>
    </border>
    <border>
      <left/>
      <right style="medium">
        <color rgb="FF000000"/>
      </right>
      <top style="medium">
        <color rgb="FF000000"/>
      </top>
      <bottom/>
    </border>
    <border>
      <left style="medium">
        <color rgb="FF000000"/>
      </left>
      <right/>
      <top/>
      <bottom/>
    </border>
    <border>
      <left/>
      <right style="thin">
        <color rgb="FFA5A5A5"/>
      </right>
      <top/>
      <bottom/>
    </border>
    <border>
      <left style="thin">
        <color rgb="FFA5A5A5"/>
      </left>
      <right/>
      <top/>
      <bottom/>
    </border>
    <border>
      <left style="medium">
        <color rgb="FF7F7F7F"/>
      </left>
      <right/>
      <top/>
      <bottom/>
    </border>
    <border>
      <left/>
      <right style="medium">
        <color rgb="FF7F7F7F"/>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style="medium">
        <color rgb="FF000000"/>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rder>
    <border>
      <left/>
      <right/>
      <top/>
    </border>
    <border>
      <left/>
      <top/>
    </border>
    <border>
      <top/>
    </border>
    <border>
      <left/>
      <right/>
    </border>
    <border>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A5A5A5"/>
      </left>
      <right/>
      <top/>
      <bottom style="thin">
        <color rgb="FFA5A5A5"/>
      </bottom>
    </border>
    <border>
      <left/>
      <right/>
      <bottom style="thin">
        <color rgb="FFA5A5A5"/>
      </bottom>
    </border>
    <border>
      <left/>
      <right style="thin">
        <color rgb="FFA5A5A5"/>
      </right>
      <top/>
      <bottom style="thin">
        <color rgb="FFA5A5A5"/>
      </bottom>
    </border>
    <border>
      <left/>
      <right/>
      <top style="thin">
        <color rgb="FFA5A5A5"/>
      </top>
      <bottom style="thin">
        <color rgb="FFA5A5A5"/>
      </bottom>
    </border>
    <border>
      <left style="medium">
        <color rgb="FF000000"/>
      </left>
      <right/>
      <top/>
      <bottom style="thin">
        <color rgb="FFA5A5A5"/>
      </bottom>
    </border>
    <border>
      <left style="medium">
        <color rgb="FF7F7F7F"/>
      </left>
      <right/>
      <top/>
      <bottom style="medium">
        <color rgb="FF7F7F7F"/>
      </bottom>
    </border>
    <border>
      <left/>
      <bottom style="medium">
        <color rgb="FF7F7F7F"/>
      </bottom>
    </border>
    <border>
      <bottom style="medium">
        <color rgb="FF7F7F7F"/>
      </bottom>
    </border>
    <border>
      <left/>
      <right style="medium">
        <color rgb="FF7F7F7F"/>
      </right>
      <top/>
      <bottom style="medium">
        <color rgb="FF7F7F7F"/>
      </bottom>
    </border>
    <border>
      <left/>
      <right style="medium">
        <color rgb="FF000000"/>
      </right>
      <top/>
      <bottom style="thin">
        <color rgb="FFA5A5A5"/>
      </bottom>
    </border>
    <border>
      <left style="medium">
        <color rgb="FF000000"/>
      </left>
      <right/>
      <top style="thin">
        <color rgb="FFA5A5A5"/>
      </top>
      <bottom/>
    </border>
    <border>
      <left/>
      <right/>
      <top style="thin">
        <color rgb="FFA5A5A5"/>
      </top>
      <bottom/>
    </border>
    <border>
      <left/>
      <right style="thin">
        <color rgb="FFA5A5A5"/>
      </right>
      <top style="thin">
        <color rgb="FFA5A5A5"/>
      </top>
      <bottom/>
    </border>
    <border>
      <left style="thin">
        <color rgb="FFA5A5A5"/>
      </left>
      <right/>
      <top style="thin">
        <color rgb="FFA5A5A5"/>
      </top>
      <bottom/>
    </border>
    <border>
      <left/>
      <right style="medium">
        <color rgb="FF000000"/>
      </right>
      <top style="thin">
        <color rgb="FFA5A5A5"/>
      </top>
      <bottom/>
    </border>
    <border>
      <right style="thin">
        <color rgb="FFA5A5A5"/>
      </right>
      <top/>
      <bottom/>
    </border>
    <border>
      <left style="thin">
        <color rgb="FFA5A5A5"/>
      </left>
      <top/>
      <bottom/>
    </border>
    <border>
      <right style="thin">
        <color rgb="FFA5A5A5"/>
      </right>
      <top/>
    </border>
    <border>
      <left style="thin">
        <color rgb="FFA5A5A5"/>
      </left>
      <top/>
    </border>
    <border>
      <right style="thin">
        <color rgb="FFA5A5A5"/>
      </right>
    </border>
    <border>
      <left style="thin">
        <color rgb="FFA5A5A5"/>
      </left>
    </border>
    <border>
      <left/>
      <bottom style="medium">
        <color rgb="FF000000"/>
      </bottom>
    </border>
    <border>
      <right style="thin">
        <color rgb="FFA5A5A5"/>
      </right>
      <bottom style="medium">
        <color rgb="FF000000"/>
      </bottom>
    </border>
    <border>
      <left style="thin">
        <color rgb="FFA5A5A5"/>
      </left>
      <bottom style="medium">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center"/>
    </xf>
    <xf borderId="0" fillId="0" fontId="2" numFmtId="0" xfId="0" applyFont="1"/>
    <xf borderId="0" fillId="0" fontId="3" numFmtId="0" xfId="0" applyFont="1"/>
    <xf borderId="1" fillId="2" fontId="4" numFmtId="0" xfId="0" applyAlignment="1" applyBorder="1" applyFill="1" applyFont="1">
      <alignment horizontal="center"/>
    </xf>
    <xf borderId="2" fillId="0" fontId="5" numFmtId="0" xfId="0" applyBorder="1" applyFont="1"/>
    <xf borderId="3" fillId="0" fontId="3" numFmtId="0" xfId="0" applyBorder="1" applyFont="1"/>
    <xf borderId="4" fillId="3" fontId="1" numFmtId="0" xfId="0" applyBorder="1" applyFill="1" applyFont="1"/>
    <xf borderId="5" fillId="0" fontId="6" numFmtId="0" xfId="0" applyBorder="1" applyFont="1"/>
    <xf borderId="6" fillId="0" fontId="6" numFmtId="0" xfId="0" applyBorder="1" applyFont="1"/>
    <xf borderId="7" fillId="3" fontId="1" numFmtId="0" xfId="0" applyAlignment="1" applyBorder="1" applyFill="1" applyFont="1">
      <alignment horizontal="center" vertical="center"/>
    </xf>
    <xf borderId="3" fillId="0" fontId="1" numFmtId="0" xfId="0" applyBorder="1" applyFont="1"/>
    <xf borderId="5" fillId="0" fontId="1" numFmtId="0" xfId="0" applyBorder="1" applyFont="1"/>
    <xf borderId="8" fillId="0" fontId="3" numFmtId="0" xfId="0" applyBorder="1" applyFont="1"/>
    <xf borderId="9" fillId="3" fontId="1" numFmtId="0" xfId="0" applyAlignment="1" applyBorder="1" applyFill="1" applyFont="1">
      <alignment horizontal="center" vertical="center"/>
    </xf>
    <xf borderId="10" fillId="0" fontId="3" numFmtId="0" xfId="0" applyBorder="1" applyFont="1"/>
    <xf borderId="11" fillId="4" fontId="1" numFmtId="0" xfId="0" applyBorder="1" applyFill="1" applyFont="1"/>
    <xf borderId="12" fillId="0" fontId="7" numFmtId="0" xfId="0" applyAlignment="1" applyBorder="1" applyFont="1">
      <alignment horizontal="center" readingOrder="0" vertical="center"/>
    </xf>
    <xf borderId="0" fillId="0" fontId="6" numFmtId="0" xfId="0" applyFont="1"/>
    <xf borderId="13" fillId="0" fontId="6" numFmtId="0" xfId="0" applyBorder="1" applyFont="1"/>
    <xf borderId="8" fillId="0" fontId="1" numFmtId="0" xfId="0" applyBorder="1" applyFont="1"/>
    <xf borderId="0" fillId="0" fontId="8" numFmtId="0" xfId="0" applyFont="1"/>
    <xf borderId="3" fillId="0" fontId="9" numFmtId="0" xfId="0" applyBorder="1" applyFont="1"/>
    <xf borderId="0" fillId="0" fontId="10" numFmtId="0" xfId="0" applyAlignment="1" applyFont="1">
      <alignment readingOrder="0"/>
    </xf>
    <xf borderId="5" fillId="0" fontId="11" numFmtId="0" xfId="0" applyBorder="1" applyFont="1"/>
    <xf borderId="5" fillId="0" fontId="12" numFmtId="0" xfId="0" applyBorder="1" applyFont="1"/>
    <xf borderId="14" fillId="0" fontId="3" numFmtId="0" xfId="0" applyBorder="1" applyFont="1"/>
    <xf borderId="5" fillId="0" fontId="9" numFmtId="0" xfId="0" applyBorder="1" applyFont="1"/>
    <xf borderId="15" fillId="5" fontId="3" numFmtId="0" xfId="0" applyBorder="1" applyFill="1" applyFont="1"/>
    <xf borderId="11" fillId="6" fontId="3" numFmtId="0" xfId="0" applyBorder="1" applyFill="1" applyFont="1"/>
    <xf borderId="16" fillId="4" fontId="1" numFmtId="0" xfId="0" applyBorder="1" applyFill="1" applyFont="1"/>
    <xf borderId="8" fillId="0" fontId="9" numFmtId="0" xfId="0" applyBorder="1" applyFont="1"/>
    <xf borderId="17" fillId="6" fontId="3" numFmtId="0" xfId="0" applyBorder="1" applyFill="1" applyFont="1"/>
    <xf borderId="18" fillId="0" fontId="5" numFmtId="0" xfId="0" applyBorder="1" applyFont="1"/>
    <xf borderId="10" fillId="0" fontId="9" numFmtId="0" xfId="0" applyBorder="1" applyFont="1"/>
    <xf borderId="0" fillId="0" fontId="9" numFmtId="0" xfId="0" applyFont="1"/>
    <xf borderId="19" fillId="6" fontId="6" numFmtId="0" xfId="0" applyBorder="1" applyFill="1" applyFont="1"/>
    <xf borderId="9" fillId="3" fontId="1" numFmtId="0" xfId="0" applyAlignment="1" applyBorder="1" applyFill="1" applyFont="1">
      <alignment horizontal="center"/>
    </xf>
    <xf borderId="20" fillId="6" fontId="6" numFmtId="0" xfId="0" applyBorder="1" applyFill="1" applyFont="1"/>
    <xf borderId="14" fillId="0" fontId="9" numFmtId="0" xfId="0" applyBorder="1" applyFont="1"/>
    <xf borderId="21" fillId="6" fontId="3" numFmtId="0" xfId="0" applyBorder="1" applyFill="1" applyFont="1"/>
    <xf borderId="22" fillId="6" fontId="3" numFmtId="0" xfId="0" applyBorder="1" applyFill="1" applyFont="1"/>
    <xf borderId="16" fillId="0" fontId="9" numFmtId="1" xfId="0" applyAlignment="1" applyBorder="1" applyFont="1" applyNumberFormat="1">
      <alignment horizontal="center"/>
    </xf>
    <xf borderId="0" fillId="0" fontId="1" numFmtId="164" xfId="0" applyFont="1" applyNumberFormat="1"/>
    <xf borderId="23" fillId="6" fontId="3" numFmtId="0" xfId="0" applyBorder="1" applyFill="1" applyFont="1"/>
    <xf borderId="16" fillId="0" fontId="9" numFmtId="0" xfId="0" applyAlignment="1" applyBorder="1" applyFont="1">
      <alignment horizontal="center"/>
    </xf>
    <xf borderId="24" fillId="6" fontId="6" numFmtId="0" xfId="0" applyAlignment="1" applyBorder="1" applyFill="1" applyFont="1">
      <alignment shrinkToFit="0" wrapText="1"/>
    </xf>
    <xf borderId="0" fillId="0" fontId="1" numFmtId="14" xfId="0" applyFont="1" applyNumberFormat="1"/>
    <xf borderId="25" fillId="6" fontId="6" numFmtId="0" xfId="0" applyAlignment="1" applyBorder="1" applyFill="1" applyFont="1">
      <alignment shrinkToFit="0" wrapText="1"/>
    </xf>
    <xf borderId="26" fillId="6" fontId="6" numFmtId="0" xfId="0" applyAlignment="1" applyBorder="1" applyFill="1" applyFont="1">
      <alignment shrinkToFit="0" wrapText="1"/>
    </xf>
    <xf borderId="27" fillId="6" fontId="6" numFmtId="0" xfId="0" applyAlignment="1" applyBorder="1" applyFill="1" applyFont="1">
      <alignment shrinkToFit="0" wrapText="1"/>
    </xf>
    <xf borderId="28" fillId="6" fontId="6" numFmtId="0" xfId="0" applyAlignment="1" applyBorder="1" applyFill="1" applyFont="1">
      <alignment shrinkToFit="0" wrapText="1"/>
    </xf>
    <xf borderId="29" fillId="6" fontId="3" numFmtId="0" xfId="0" applyBorder="1" applyFill="1" applyFont="1"/>
    <xf borderId="30" fillId="6" fontId="3" numFmtId="0" xfId="0" applyBorder="1" applyFill="1" applyFont="1"/>
    <xf borderId="11" fillId="6" fontId="13" numFmtId="0" xfId="0" applyAlignment="1" applyBorder="1" applyFill="1" applyFont="1">
      <alignment horizontal="center" shrinkToFit="0" wrapText="1"/>
    </xf>
    <xf borderId="31" fillId="6" fontId="6" numFmtId="0" xfId="0" applyAlignment="1" applyBorder="1" applyFill="1" applyFont="1">
      <alignment shrinkToFit="0" wrapText="1"/>
    </xf>
    <xf borderId="11" fillId="6" fontId="6" numFmtId="0" xfId="0" applyAlignment="1" applyBorder="1" applyFill="1" applyFont="1">
      <alignment shrinkToFit="0" wrapText="1"/>
    </xf>
    <xf borderId="32" fillId="6" fontId="6" numFmtId="0" xfId="0" applyAlignment="1" applyBorder="1" applyFill="1" applyFont="1">
      <alignment shrinkToFit="0" wrapText="1"/>
    </xf>
    <xf borderId="33" fillId="6" fontId="6" numFmtId="0" xfId="0" applyAlignment="1" applyBorder="1" applyFill="1" applyFont="1">
      <alignment shrinkToFit="0" wrapText="1"/>
    </xf>
    <xf borderId="1" fillId="6" fontId="13" numFmtId="0" xfId="0" applyAlignment="1" applyBorder="1" applyFill="1" applyFont="1">
      <alignment horizontal="center" shrinkToFit="0" wrapText="1"/>
    </xf>
    <xf borderId="34" fillId="6" fontId="6" numFmtId="0" xfId="0" applyAlignment="1" applyBorder="1" applyFill="1" applyFont="1">
      <alignment shrinkToFit="0" wrapText="1"/>
    </xf>
    <xf borderId="11" fillId="6" fontId="6" numFmtId="0" xfId="0" applyAlignment="1" applyBorder="1" applyFill="1" applyFont="1">
      <alignment horizontal="center" shrinkToFit="0" wrapText="1"/>
    </xf>
    <xf borderId="10" fillId="0" fontId="14" numFmtId="0" xfId="0" applyBorder="1" applyFont="1"/>
    <xf borderId="35" fillId="0" fontId="9" numFmtId="0" xfId="0" applyAlignment="1" applyBorder="1" applyFont="1">
      <alignment horizontal="center"/>
    </xf>
    <xf borderId="36" fillId="0" fontId="5" numFmtId="0" xfId="0" applyBorder="1" applyFont="1"/>
    <xf borderId="37" fillId="6" fontId="3" numFmtId="0" xfId="0" applyBorder="1" applyFill="1" applyFont="1"/>
    <xf borderId="38" fillId="0" fontId="9" numFmtId="0" xfId="0" applyBorder="1" applyFont="1"/>
    <xf borderId="30" fillId="6" fontId="3" numFmtId="0" xfId="0" applyAlignment="1" applyBorder="1" applyFill="1" applyFont="1">
      <alignment shrinkToFit="0" vertical="top" wrapText="1"/>
    </xf>
    <xf borderId="39" fillId="0" fontId="9" numFmtId="0" xfId="0" applyAlignment="1" applyBorder="1" applyFont="1">
      <alignment horizontal="center"/>
    </xf>
    <xf borderId="11" fillId="6" fontId="6" numFmtId="0" xfId="0" applyAlignment="1" applyBorder="1" applyFill="1" applyFont="1">
      <alignment shrinkToFit="0" vertical="top" wrapText="1"/>
    </xf>
    <xf borderId="39" fillId="0" fontId="5" numFmtId="0" xfId="0" applyBorder="1" applyFont="1"/>
    <xf borderId="40" fillId="0" fontId="5" numFmtId="0" xfId="0" applyBorder="1" applyFont="1"/>
    <xf borderId="0" fillId="0" fontId="9" numFmtId="0" xfId="0" applyAlignment="1" applyFont="1">
      <alignment horizontal="center"/>
    </xf>
    <xf borderId="14" fillId="0" fontId="9" numFmtId="0" xfId="0" applyAlignment="1" applyBorder="1" applyFont="1">
      <alignment horizontal="center"/>
    </xf>
    <xf borderId="0" fillId="0" fontId="15" numFmtId="0" xfId="0" applyAlignment="1" applyFont="1">
      <alignment horizontal="center"/>
    </xf>
    <xf borderId="41" fillId="0" fontId="9" numFmtId="0" xfId="0" applyAlignment="1" applyBorder="1" applyFont="1">
      <alignment horizontal="center"/>
    </xf>
    <xf borderId="0" fillId="0" fontId="9" numFmtId="1" xfId="0" applyAlignment="1" applyFont="1" applyNumberFormat="1">
      <alignment horizontal="center"/>
    </xf>
    <xf borderId="42" fillId="0" fontId="9" numFmtId="0" xfId="0" applyBorder="1" applyFont="1"/>
    <xf borderId="43" fillId="0" fontId="9" numFmtId="0" xfId="0" applyBorder="1" applyFont="1"/>
    <xf borderId="44" fillId="6" fontId="6" numFmtId="0" xfId="0" applyAlignment="1" applyBorder="1" applyFill="1" applyFont="1">
      <alignment horizontal="left" shrinkToFit="0" vertical="top" wrapText="1"/>
    </xf>
    <xf borderId="45" fillId="6" fontId="6" numFmtId="0" xfId="0" applyAlignment="1" applyBorder="1" applyFill="1" applyFont="1">
      <alignment horizontal="left" shrinkToFit="0" vertical="top" wrapText="1"/>
    </xf>
    <xf borderId="46" fillId="0" fontId="5" numFmtId="0" xfId="0" applyBorder="1" applyFont="1"/>
    <xf borderId="13" fillId="0" fontId="9" numFmtId="0" xfId="0" applyBorder="1" applyFont="1"/>
    <xf borderId="47" fillId="0" fontId="5" numFmtId="0" xfId="0" applyBorder="1" applyFont="1"/>
    <xf borderId="48" fillId="0" fontId="5" numFmtId="0" xfId="0" applyBorder="1" applyFont="1"/>
    <xf borderId="49" fillId="0" fontId="9" numFmtId="0" xfId="0" applyBorder="1" applyFont="1"/>
    <xf borderId="50" fillId="0" fontId="9" numFmtId="0" xfId="0" applyBorder="1" applyFont="1"/>
    <xf borderId="51" fillId="0" fontId="9" numFmtId="0" xfId="0" applyBorder="1" applyFont="1"/>
    <xf borderId="52" fillId="0" fontId="9" numFmtId="0" xfId="0" applyBorder="1" applyFont="1"/>
    <xf borderId="53" fillId="0" fontId="1" numFmtId="0" xfId="0" applyBorder="1" applyFont="1"/>
    <xf borderId="53" fillId="0" fontId="9" numFmtId="0" xfId="0" applyBorder="1" applyFont="1"/>
    <xf borderId="54" fillId="0" fontId="9" numFmtId="0" xfId="0" applyBorder="1" applyFont="1"/>
    <xf borderId="55" fillId="6" fontId="6" numFmtId="0" xfId="0" applyAlignment="1" applyBorder="1" applyFill="1" applyFont="1">
      <alignment shrinkToFit="0" wrapText="1"/>
    </xf>
    <xf borderId="56" fillId="0" fontId="5" numFmtId="0" xfId="0" applyBorder="1" applyFont="1"/>
    <xf borderId="57" fillId="6" fontId="6" numFmtId="0" xfId="0" applyAlignment="1" applyBorder="1" applyFill="1" applyFont="1">
      <alignment shrinkToFit="0" wrapText="1"/>
    </xf>
    <xf borderId="0" fillId="0" fontId="16" numFmtId="165" xfId="0" applyAlignment="1" applyFont="1" applyNumberFormat="1">
      <alignment horizontal="center"/>
    </xf>
    <xf borderId="58" fillId="6" fontId="6" numFmtId="0" xfId="0" applyAlignment="1" applyBorder="1" applyFill="1" applyFont="1">
      <alignment shrinkToFit="0" wrapText="1"/>
    </xf>
    <xf borderId="58" fillId="6" fontId="6" numFmtId="0" xfId="0" applyAlignment="1" applyBorder="1" applyFill="1" applyFont="1">
      <alignment horizontal="center" shrinkToFit="0" wrapText="1"/>
    </xf>
    <xf borderId="11" fillId="6" fontId="13" numFmtId="0" xfId="0" applyAlignment="1" applyBorder="1" applyFill="1" applyFont="1">
      <alignment horizontal="center" shrinkToFit="0" vertical="center" wrapText="1"/>
    </xf>
    <xf borderId="31" fillId="6" fontId="6" numFmtId="0" xfId="0" applyAlignment="1" applyBorder="1" applyFill="1" applyFont="1">
      <alignment shrinkToFit="0" vertical="center" wrapText="1"/>
    </xf>
    <xf borderId="11" fillId="6" fontId="6" numFmtId="0" xfId="0" applyAlignment="1" applyBorder="1" applyFill="1" applyFont="1">
      <alignment shrinkToFit="0" vertical="center" wrapText="1"/>
    </xf>
    <xf borderId="33" fillId="6" fontId="6" numFmtId="0" xfId="0" applyAlignment="1" applyBorder="1" applyFill="1" applyFont="1">
      <alignment shrinkToFit="0" vertical="center" wrapText="1"/>
    </xf>
    <xf borderId="34" fillId="6" fontId="6" numFmtId="0" xfId="0" applyAlignment="1" applyBorder="1" applyFill="1" applyFont="1">
      <alignment shrinkToFit="0" vertical="center" wrapText="1"/>
    </xf>
    <xf borderId="32" fillId="6" fontId="6" numFmtId="0" xfId="0" applyAlignment="1" applyBorder="1" applyFill="1" applyFont="1">
      <alignment shrinkToFit="0" vertical="center" wrapText="1"/>
    </xf>
    <xf borderId="11" fillId="6" fontId="17" numFmtId="0" xfId="0" applyAlignment="1" applyBorder="1" applyFill="1" applyFont="1">
      <alignment horizontal="center" shrinkToFit="0" wrapText="1"/>
    </xf>
    <xf borderId="59" fillId="6" fontId="3" numFmtId="0" xfId="0" applyAlignment="1" applyBorder="1" applyFill="1" applyFont="1">
      <alignment shrinkToFit="0" vertical="top" wrapText="1"/>
    </xf>
    <xf borderId="60" fillId="6" fontId="6" numFmtId="0" xfId="0" applyAlignment="1" applyBorder="1" applyFill="1" applyFont="1">
      <alignment shrinkToFit="0" wrapText="1"/>
    </xf>
    <xf borderId="61" fillId="0" fontId="5" numFmtId="0" xfId="0" applyBorder="1" applyFont="1"/>
    <xf borderId="62" fillId="0" fontId="5" numFmtId="0" xfId="0" applyBorder="1" applyFont="1"/>
    <xf borderId="63" fillId="6" fontId="6" numFmtId="0" xfId="0" applyAlignment="1" applyBorder="1" applyFill="1" applyFont="1">
      <alignment shrinkToFit="0" wrapText="1"/>
    </xf>
    <xf borderId="64" fillId="6" fontId="3" numFmtId="0" xfId="0" applyBorder="1" applyFill="1" applyFont="1"/>
    <xf borderId="65" fillId="6" fontId="3" numFmtId="0" xfId="0" applyBorder="1" applyFill="1" applyFont="1"/>
    <xf borderId="66" fillId="6" fontId="6" numFmtId="0" xfId="0" applyAlignment="1" applyBorder="1" applyFill="1" applyFont="1">
      <alignment shrinkToFit="0" wrapText="1"/>
    </xf>
    <xf borderId="67" fillId="6" fontId="6" numFmtId="0" xfId="0" applyAlignment="1" applyBorder="1" applyFill="1" applyFont="1">
      <alignment shrinkToFit="0" wrapText="1"/>
    </xf>
    <xf borderId="68" fillId="6" fontId="6" numFmtId="0" xfId="0" applyAlignment="1" applyBorder="1" applyFill="1" applyFont="1">
      <alignment shrinkToFit="0" wrapText="1"/>
    </xf>
    <xf borderId="69" fillId="6" fontId="3" numFmtId="0" xfId="0" applyBorder="1" applyFill="1" applyFont="1"/>
    <xf borderId="70" fillId="0" fontId="5" numFmtId="0" xfId="0" applyBorder="1" applyFont="1"/>
    <xf borderId="71" fillId="6" fontId="13" numFmtId="0" xfId="0" applyAlignment="1" applyBorder="1" applyFill="1" applyFont="1">
      <alignment horizontal="center" shrinkToFit="0" wrapText="1"/>
    </xf>
    <xf borderId="72" fillId="0" fontId="5" numFmtId="0" xfId="0" applyBorder="1" applyFont="1"/>
    <xf borderId="73" fillId="6" fontId="6" numFmtId="0" xfId="0" applyAlignment="1" applyBorder="1" applyFill="1" applyFont="1">
      <alignment horizontal="left" shrinkToFit="0" vertical="top" wrapText="1"/>
    </xf>
    <xf borderId="74" fillId="0" fontId="5" numFmtId="0" xfId="0" applyBorder="1" applyFont="1"/>
    <xf borderId="75" fillId="0" fontId="5" numFmtId="0" xfId="0" applyBorder="1" applyFont="1"/>
    <xf borderId="76" fillId="0" fontId="5" numFmtId="0" xfId="0" applyBorder="1" applyFont="1"/>
    <xf borderId="53" fillId="0" fontId="5" numFmtId="0" xfId="0" applyBorder="1" applyFont="1"/>
    <xf borderId="77" fillId="0" fontId="5" numFmtId="0" xfId="0" applyBorder="1" applyFont="1"/>
    <xf borderId="19" fillId="6" fontId="6" numFmtId="0" xfId="0" applyAlignment="1" applyBorder="1" applyFill="1" applyFont="1">
      <alignment shrinkToFit="0" wrapText="1"/>
    </xf>
    <xf borderId="78"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externalLink" Target="externalLinks/externalLink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123825</xdr:colOff>
      <xdr:row>59</xdr:row>
      <xdr:rowOff>0</xdr:rowOff>
    </xdr:from>
    <xdr:ext cx="200025" cy="952500"/>
    <xdr:sp>
      <xdr:nvSpPr>
        <xdr:cNvPr id="3" name="Shape 3"/>
        <xdr:cNvSpPr/>
      </xdr:nvSpPr>
      <xdr:spPr>
        <a:xfrm>
          <a:off x="5250750" y="3308513"/>
          <a:ext cx="190500" cy="942975"/>
        </a:xfrm>
        <a:prstGeom prst="rect">
          <a:avLst/>
        </a:prstGeom>
        <a:noFill/>
        <a:ln>
          <a:noFill/>
        </a:ln>
      </xdr:spPr>
      <xdr:txBody>
        <a:bodyPr anchorCtr="0" anchor="t" bIns="45700" lIns="91425" spcFirstLastPara="1" rIns="91425" wrap="square" tIns="45700">
          <a:noAutofit/>
        </a:bodyPr>
        <a:lstStyle/>
        <a:p>
          <a:pPr indent="0" lvl="0" marL="0" rtl="0" algn="ctr">
            <a:spcBef>
              <a:spcPts val="0"/>
            </a:spcBef>
            <a:spcAft>
              <a:spcPts val="0"/>
            </a:spcAft>
            <a:buSzPts val="5400"/>
            <a:buFont typeface="Arial"/>
            <a:buNone/>
          </a:pPr>
          <a:r>
            <a:t/>
          </a:r>
          <a:endParaRPr b="1" sz="5400" cap="none">
            <a:solidFill>
              <a:srgbClr val="DF322D"/>
            </a:solidFil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295275</xdr:colOff>
      <xdr:row>39</xdr:row>
      <xdr:rowOff>0</xdr:rowOff>
    </xdr:from>
    <xdr:ext cx="4667250" cy="457200"/>
    <xdr:sp>
      <xdr:nvSpPr>
        <xdr:cNvPr id="4" name="Shape 4"/>
        <xdr:cNvSpPr txBox="1"/>
      </xdr:nvSpPr>
      <xdr:spPr>
        <a:xfrm>
          <a:off x="3017138" y="3556163"/>
          <a:ext cx="4657725" cy="447675"/>
        </a:xfrm>
        <a:prstGeom prst="rect">
          <a:avLst/>
        </a:prstGeom>
        <a:solidFill>
          <a:srgbClr val="CCFFFF"/>
        </a:solidFill>
        <a:ln cap="flat" cmpd="sng" w="9525">
          <a:solidFill>
            <a:srgbClr val="C0C0C0"/>
          </a:solidFill>
          <a:prstDash val="solid"/>
          <a:miter lim="80"/>
          <a:headEnd len="sm" w="sm" type="none"/>
          <a:tailEnd len="sm" w="sm" type="none"/>
        </a:ln>
      </xdr:spPr>
      <xdr:txBody>
        <a:bodyPr anchorCtr="0" anchor="t" bIns="46800" lIns="108000" spcFirstLastPara="1" rIns="90000" wrap="square" tIns="46800">
          <a:spAutoFit/>
        </a:bodyPr>
        <a:lstStyle/>
        <a:p>
          <a:pPr indent="0" lvl="0" marL="0" rtl="0" algn="ctr">
            <a:spcBef>
              <a:spcPts val="0"/>
            </a:spcBef>
            <a:spcAft>
              <a:spcPts val="0"/>
            </a:spcAft>
            <a:buClr>
              <a:srgbClr val="000000"/>
            </a:buClr>
            <a:buSzPts val="1100"/>
            <a:buFont typeface="Verdana"/>
            <a:buNone/>
          </a:pPr>
          <a:r>
            <a:rPr b="0" i="0" lang="en-US" sz="1100" u="none" strike="noStrike">
              <a:solidFill>
                <a:srgbClr val="000000"/>
              </a:solidFill>
              <a:latin typeface="Verdana"/>
              <a:ea typeface="Verdana"/>
              <a:cs typeface="Verdana"/>
              <a:sym typeface="Verdana"/>
            </a:rPr>
            <a:t>No suprimas esta hoja o el libro no funcionará correctamente. </a:t>
          </a:r>
          <a:endParaRPr sz="1400"/>
        </a:p>
        <a:p>
          <a:pPr indent="0" lvl="0" marL="0" rtl="0" algn="ctr">
            <a:spcBef>
              <a:spcPts val="0"/>
            </a:spcBef>
            <a:spcAft>
              <a:spcPts val="0"/>
            </a:spcAft>
            <a:buClr>
              <a:srgbClr val="000000"/>
            </a:buClr>
            <a:buSzPts val="1100"/>
            <a:buFont typeface="Verdana"/>
            <a:buNone/>
          </a:pPr>
          <a:r>
            <a:rPr b="0" i="0" lang="en-US" sz="1100" u="none" strike="noStrike">
              <a:solidFill>
                <a:srgbClr val="000000"/>
              </a:solidFill>
              <a:latin typeface="Verdana"/>
              <a:ea typeface="Verdana"/>
              <a:cs typeface="Verdana"/>
              <a:sym typeface="Verdana"/>
            </a:rPr>
            <a:t>Haz las modificaciones que desees en las demás hojas</a:t>
          </a:r>
          <a:endParaRPr sz="1100"/>
        </a:p>
      </xdr:txBody>
    </xdr:sp>
    <xdr:clientData fLocksWithSheet="0"/>
  </xdr:oneCellAnchor>
  <xdr:oneCellAnchor>
    <xdr:from>
      <xdr:col>3</xdr:col>
      <xdr:colOff>323850</xdr:colOff>
      <xdr:row>42</xdr:row>
      <xdr:rowOff>0</xdr:rowOff>
    </xdr:from>
    <xdr:ext cx="4895850" cy="1514475"/>
    <xdr:sp>
      <xdr:nvSpPr>
        <xdr:cNvPr id="5" name="Shape 5"/>
        <xdr:cNvSpPr txBox="1"/>
      </xdr:nvSpPr>
      <xdr:spPr>
        <a:xfrm>
          <a:off x="2902838" y="3027525"/>
          <a:ext cx="4886325" cy="1504950"/>
        </a:xfrm>
        <a:prstGeom prst="rect">
          <a:avLst/>
        </a:prstGeom>
        <a:noFill/>
        <a:ln cap="flat" cmpd="sng" w="9525">
          <a:solidFill>
            <a:srgbClr val="C0C0C0"/>
          </a:solidFill>
          <a:prstDash val="solid"/>
          <a:miter lim="80"/>
          <a:headEnd len="sm" w="sm" type="none"/>
          <a:tailEnd len="sm" w="sm" type="none"/>
        </a:ln>
      </xdr:spPr>
      <xdr:txBody>
        <a:bodyPr anchorCtr="0" anchor="t" bIns="46800" lIns="72000" spcFirstLastPara="1" rIns="90000" wrap="square" tIns="46800">
          <a:noAutofit/>
        </a:bodyPr>
        <a:lstStyle/>
        <a:p>
          <a:pPr indent="0" lvl="0" marL="0" rtl="0" algn="ctr">
            <a:spcBef>
              <a:spcPts val="0"/>
            </a:spcBef>
            <a:spcAft>
              <a:spcPts val="0"/>
            </a:spcAft>
            <a:buClr>
              <a:srgbClr val="000000"/>
            </a:buClr>
            <a:buSzPts val="1000"/>
            <a:buFont typeface="Verdana"/>
            <a:buNone/>
          </a:pPr>
          <a:r>
            <a:rPr b="0" i="0" lang="en-US" sz="1000" u="none" strike="noStrike">
              <a:solidFill>
                <a:srgbClr val="000000"/>
              </a:solidFill>
              <a:latin typeface="Verdana"/>
              <a:ea typeface="Verdana"/>
              <a:cs typeface="Verdana"/>
              <a:sym typeface="Verdana"/>
            </a:rPr>
            <a:t>© e.ditor consulting s.l. y el autor</a:t>
          </a:r>
          <a:endParaRPr sz="1400"/>
        </a:p>
        <a:p>
          <a:pPr indent="0" lvl="0" marL="0" rtl="0" algn="ctr">
            <a:spcBef>
              <a:spcPts val="0"/>
            </a:spcBef>
            <a:spcAft>
              <a:spcPts val="0"/>
            </a:spcAft>
            <a:buClr>
              <a:srgbClr val="000000"/>
            </a:buClr>
            <a:buSzPts val="1000"/>
            <a:buFont typeface="Verdana"/>
            <a:buNone/>
          </a:pPr>
          <a:r>
            <a:rPr b="0" i="0" lang="en-US" sz="1000" u="none" strike="noStrike">
              <a:solidFill>
                <a:srgbClr val="000000"/>
              </a:solidFill>
              <a:latin typeface="Verdana"/>
              <a:ea typeface="Verdana"/>
              <a:cs typeface="Verdana"/>
              <a:sym typeface="Verdana"/>
            </a:rPr>
            <a:t>     </a:t>
          </a:r>
          <a:endParaRPr sz="1400"/>
        </a:p>
        <a:p>
          <a:pPr indent="0" lvl="0" marL="0" rtl="0" algn="ctr">
            <a:spcBef>
              <a:spcPts val="0"/>
            </a:spcBef>
            <a:spcAft>
              <a:spcPts val="0"/>
            </a:spcAft>
            <a:buClr>
              <a:srgbClr val="000000"/>
            </a:buClr>
            <a:buSzPts val="900"/>
            <a:buFont typeface="Verdana"/>
            <a:buNone/>
          </a:pPr>
          <a:r>
            <a:rPr b="0" i="0" lang="en-US" sz="900" u="none" strike="noStrike">
              <a:solidFill>
                <a:srgbClr val="000000"/>
              </a:solidFill>
              <a:latin typeface="Verdana"/>
              <a:ea typeface="Verdana"/>
              <a:cs typeface="Verdana"/>
              <a:sym typeface="Verdana"/>
            </a:rPr>
            <a:t>La venta, comercialización o distribución por cualquier medio, soporte o formato no está permitida sin el permiso previo y por escrito de sus </a:t>
          </a:r>
          <a:endParaRPr sz="1400"/>
        </a:p>
        <a:p>
          <a:pPr indent="0" lvl="0" marL="0" rtl="0" algn="ctr">
            <a:spcBef>
              <a:spcPts val="0"/>
            </a:spcBef>
            <a:spcAft>
              <a:spcPts val="0"/>
            </a:spcAft>
            <a:buClr>
              <a:srgbClr val="000000"/>
            </a:buClr>
            <a:buSzPts val="900"/>
            <a:buFont typeface="Verdana"/>
            <a:buNone/>
          </a:pPr>
          <a:r>
            <a:rPr b="0" i="0" lang="en-US" sz="900" u="none" strike="noStrike">
              <a:solidFill>
                <a:srgbClr val="000000"/>
              </a:solidFill>
              <a:latin typeface="Verdana"/>
              <a:ea typeface="Verdana"/>
              <a:cs typeface="Verdana"/>
              <a:sym typeface="Verdana"/>
            </a:rPr>
            <a:t>autores. Contáctanos y te proporcionaremos una copia abierta:</a:t>
          </a:r>
          <a:endParaRPr b="0" i="0" sz="1000" u="none" strike="noStrike">
            <a:solidFill>
              <a:srgbClr val="000000"/>
            </a:solidFill>
            <a:latin typeface="Verdana"/>
            <a:ea typeface="Verdana"/>
            <a:cs typeface="Verdana"/>
            <a:sym typeface="Verdana"/>
          </a:endParaRPr>
        </a:p>
        <a:p>
          <a:pPr indent="0" lvl="0" marL="0" rtl="0" algn="ctr">
            <a:spcBef>
              <a:spcPts val="0"/>
            </a:spcBef>
            <a:spcAft>
              <a:spcPts val="0"/>
            </a:spcAft>
            <a:buClr>
              <a:srgbClr val="000000"/>
            </a:buClr>
            <a:buSzPts val="1000"/>
            <a:buFont typeface="Verdana"/>
            <a:buNone/>
          </a:pPr>
          <a:r>
            <a:rPr b="0" i="0" lang="en-US" sz="1000" u="none" strike="noStrike">
              <a:solidFill>
                <a:srgbClr val="000000"/>
              </a:solidFill>
              <a:latin typeface="Verdana"/>
              <a:ea typeface="Verdana"/>
              <a:cs typeface="Verdana"/>
              <a:sym typeface="Verdana"/>
            </a:rPr>
            <a:t>     </a:t>
          </a:r>
          <a:endParaRPr sz="1400"/>
        </a:p>
        <a:p>
          <a:pPr indent="0" lvl="0" marL="0" rtl="0" algn="ctr">
            <a:spcBef>
              <a:spcPts val="0"/>
            </a:spcBef>
            <a:spcAft>
              <a:spcPts val="0"/>
            </a:spcAft>
            <a:buClr>
              <a:srgbClr val="000000"/>
            </a:buClr>
            <a:buSzPts val="1000"/>
            <a:buFont typeface="Verdana"/>
            <a:buNone/>
          </a:pPr>
          <a:r>
            <a:rPr b="0" i="0" lang="en-US" sz="1000" u="none" strike="noStrike">
              <a:solidFill>
                <a:srgbClr val="000000"/>
              </a:solidFill>
              <a:latin typeface="Verdana"/>
              <a:ea typeface="Verdana"/>
              <a:cs typeface="Verdana"/>
              <a:sym typeface="Verdana"/>
            </a:rPr>
            <a:t>info@e.ditor.com</a:t>
          </a:r>
          <a:endParaRPr sz="1400"/>
        </a:p>
        <a:p>
          <a:pPr indent="0" lvl="0" marL="0" rtl="0" algn="ctr">
            <a:spcBef>
              <a:spcPts val="0"/>
            </a:spcBef>
            <a:spcAft>
              <a:spcPts val="0"/>
            </a:spcAft>
            <a:buSzPts val="1100"/>
            <a:buFont typeface="Arial"/>
            <a:buNone/>
          </a:pPr>
          <a:r>
            <a:t/>
          </a:r>
          <a:endParaRPr sz="1100"/>
        </a:p>
      </xdr:txBody>
    </xdr:sp>
    <xdr:clientData fLocksWithSheet="0"/>
  </xdr:oneCellAnchor>
  <xdr:oneCellAnchor>
    <xdr:from>
      <xdr:col>2</xdr:col>
      <xdr:colOff>409575</xdr:colOff>
      <xdr:row>39</xdr:row>
      <xdr:rowOff>9525</xdr:rowOff>
    </xdr:from>
    <xdr:ext cx="857250" cy="771525"/>
    <xdr:pic>
      <xdr:nvPicPr>
        <xdr:cNvPr descr="attention_niels_epting_01"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742950</xdr:colOff>
      <xdr:row>50</xdr:row>
      <xdr:rowOff>85725</xdr:rowOff>
    </xdr:from>
    <xdr:ext cx="800100" cy="276225"/>
    <xdr:pic>
      <xdr:nvPicPr>
        <xdr:cNvPr descr="EDITO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Anton%20M%20Dunyo%20Esteve/Mis%20documentos/E-DITOR%20ANTERIOR%20Y%20ALTRES/PRODUCTES%20ENTREGATS/2%20EXCEL/PE101%20Pto%20Equilibrio/FinancialMetricsPro_201_13657647.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tents"/>
      <sheetName val="UserGuide"/>
      <sheetName val="CashFlow"/>
      <sheetName val="CumulativeCF"/>
      <sheetName val="Payback"/>
      <sheetName val="ROI"/>
      <sheetName val="NPV"/>
      <sheetName val="Compounding"/>
      <sheetName val="CAGR"/>
      <sheetName val="IRR"/>
      <sheetName val="Breakeven"/>
      <sheetName val="Income"/>
      <sheetName val="Balance"/>
      <sheetName val="FinCashFlow"/>
      <sheetName val="Retained"/>
      <sheetName val="FSAnalysis"/>
      <sheetName val="Liquidity"/>
      <sheetName val="Activity"/>
      <sheetName val="Leverage"/>
      <sheetName val="Profitability"/>
      <sheetName val="Valuation"/>
      <sheetName val="MultiYear"/>
      <sheetName val="Growth"/>
      <sheetName val="DuPo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6128"/>
    <pageSetUpPr fitToPage="1"/>
  </sheetPr>
  <sheetViews>
    <sheetView showGridLines="0" workbookViewId="0"/>
  </sheetViews>
  <sheetFormatPr customHeight="1" defaultColWidth="12.63" defaultRowHeight="15.0"/>
  <cols>
    <col customWidth="1" hidden="1" min="1" max="2" width="11.38"/>
    <col customWidth="1" min="3" max="3" width="1.25"/>
    <col customWidth="1" min="4" max="4" width="0.88"/>
    <col customWidth="1" min="5" max="5" width="61.0"/>
    <col customWidth="1" min="6" max="6" width="0.88"/>
    <col customWidth="1" min="7" max="7" width="0.63"/>
    <col customWidth="1" min="8" max="8" width="0.88"/>
    <col customWidth="1" min="9" max="9" width="46.38"/>
    <col customWidth="1" min="10" max="10" width="0.88"/>
    <col customWidth="1" min="11" max="11" width="0.63"/>
    <col customWidth="1" min="12" max="12" width="0.88"/>
    <col customWidth="1" min="13" max="13" width="16.75"/>
    <col customWidth="1" min="14" max="14" width="0.63"/>
    <col customWidth="1" min="15" max="15" width="16.75"/>
    <col customWidth="1" min="16" max="16" width="23.88"/>
    <col customWidth="1" min="17" max="17" width="0.63"/>
    <col customWidth="1" min="18" max="18" width="0.88"/>
    <col customWidth="1" min="19" max="19" width="52.13"/>
    <col customWidth="1" min="20" max="20" width="0.88"/>
    <col customWidth="1" min="21" max="21" width="0.63"/>
    <col customWidth="1" min="22" max="22" width="0.88"/>
    <col customWidth="1" min="23" max="23" width="70.38"/>
    <col customWidth="1" min="24" max="25" width="1.25"/>
    <col customWidth="1" min="26" max="26" width="11.38"/>
  </cols>
  <sheetData>
    <row r="1" ht="18.75" customHeight="1">
      <c r="A1" s="4"/>
      <c r="B1" s="4"/>
      <c r="C1" s="4"/>
      <c r="D1" s="4"/>
      <c r="E1" s="4"/>
      <c r="F1" s="4"/>
      <c r="G1" s="4"/>
      <c r="H1" s="4"/>
      <c r="I1" s="4"/>
      <c r="J1" s="4"/>
      <c r="K1" s="4"/>
      <c r="L1" s="4"/>
      <c r="M1" s="4"/>
      <c r="N1" s="4"/>
      <c r="O1" s="4"/>
      <c r="P1" s="4"/>
      <c r="Q1" s="4"/>
      <c r="R1" s="4"/>
      <c r="S1" s="4"/>
      <c r="T1" s="4"/>
      <c r="U1" s="4"/>
      <c r="V1" s="4"/>
      <c r="W1" s="4"/>
      <c r="X1" s="4"/>
      <c r="Y1" s="4"/>
      <c r="Z1" s="4"/>
    </row>
    <row r="2" ht="18.75" customHeight="1">
      <c r="A2" s="4"/>
      <c r="B2" s="4"/>
      <c r="C2" s="4"/>
      <c r="D2" s="7"/>
      <c r="E2" s="9"/>
      <c r="F2" s="9"/>
      <c r="G2" s="10"/>
      <c r="H2" s="9"/>
      <c r="I2" s="9"/>
      <c r="J2" s="9"/>
      <c r="K2" s="9"/>
      <c r="L2" s="9"/>
      <c r="M2" s="9"/>
      <c r="N2" s="9"/>
      <c r="O2" s="9"/>
      <c r="P2" s="9"/>
      <c r="Q2" s="9"/>
      <c r="R2" s="9"/>
      <c r="S2" s="9"/>
      <c r="T2" s="9"/>
      <c r="U2" s="9"/>
      <c r="V2" s="9"/>
      <c r="W2" s="9"/>
      <c r="X2" s="14"/>
      <c r="Y2" s="4"/>
      <c r="Z2" s="4"/>
    </row>
    <row r="3" ht="18.75" customHeight="1">
      <c r="A3" s="4"/>
      <c r="B3" s="4"/>
      <c r="C3" s="4"/>
      <c r="D3" s="16"/>
      <c r="E3" s="18" t="s">
        <v>3</v>
      </c>
      <c r="F3" s="19"/>
      <c r="G3" s="20"/>
      <c r="H3" s="19"/>
      <c r="I3" s="22" t="s">
        <v>5</v>
      </c>
      <c r="N3" s="19"/>
      <c r="O3" s="24" t="s">
        <v>6</v>
      </c>
      <c r="T3" s="19"/>
      <c r="U3" s="19"/>
      <c r="V3" s="19"/>
      <c r="W3" s="22" t="s">
        <v>8</v>
      </c>
      <c r="X3" s="27"/>
      <c r="Y3" s="4"/>
      <c r="Z3" s="4"/>
    </row>
    <row r="4" ht="24.0" customHeight="1">
      <c r="A4" s="4"/>
      <c r="B4" s="29"/>
      <c r="C4" s="30"/>
      <c r="D4" s="33"/>
      <c r="E4" s="34"/>
      <c r="F4" s="37"/>
      <c r="G4" s="39"/>
      <c r="H4" s="37"/>
      <c r="I4" s="37"/>
      <c r="J4" s="37"/>
      <c r="K4" s="37"/>
      <c r="L4" s="37"/>
      <c r="M4" s="37"/>
      <c r="N4" s="37"/>
      <c r="O4" s="37"/>
      <c r="P4" s="37"/>
      <c r="Q4" s="37"/>
      <c r="R4" s="37"/>
      <c r="S4" s="37"/>
      <c r="T4" s="37"/>
      <c r="U4" s="37"/>
      <c r="V4" s="37"/>
      <c r="W4" s="37"/>
      <c r="X4" s="41"/>
      <c r="Y4" s="42"/>
      <c r="Z4" s="4"/>
    </row>
    <row r="5" ht="18.75" customHeight="1">
      <c r="A5" s="4"/>
      <c r="B5" s="29"/>
      <c r="C5" s="30"/>
      <c r="D5" s="45"/>
      <c r="E5" s="47"/>
      <c r="F5" s="49"/>
      <c r="G5" s="47"/>
      <c r="H5" s="50"/>
      <c r="I5" s="47"/>
      <c r="J5" s="49"/>
      <c r="K5" s="47"/>
      <c r="L5" s="51"/>
      <c r="M5" s="47"/>
      <c r="N5" s="47"/>
      <c r="O5" s="47"/>
      <c r="P5" s="52"/>
      <c r="Q5" s="47"/>
      <c r="R5" s="50"/>
      <c r="S5" s="47"/>
      <c r="T5" s="49"/>
      <c r="U5" s="47"/>
      <c r="V5" s="50"/>
      <c r="W5" s="47"/>
      <c r="X5" s="53"/>
      <c r="Y5" s="42"/>
      <c r="Z5" s="4"/>
    </row>
    <row r="6" ht="18.75" customHeight="1">
      <c r="A6" s="4"/>
      <c r="B6" s="29"/>
      <c r="C6" s="30"/>
      <c r="D6" s="54"/>
      <c r="E6" s="55" t="s">
        <v>11</v>
      </c>
      <c r="F6" s="56"/>
      <c r="G6" s="57"/>
      <c r="H6" s="58"/>
      <c r="I6" s="55" t="s">
        <v>12</v>
      </c>
      <c r="J6" s="56"/>
      <c r="K6" s="57"/>
      <c r="L6" s="59"/>
      <c r="M6" s="60" t="s">
        <v>13</v>
      </c>
      <c r="N6" s="6"/>
      <c r="O6" s="6"/>
      <c r="P6" s="61"/>
      <c r="Q6" s="62"/>
      <c r="R6" s="58"/>
      <c r="S6" s="55" t="s">
        <v>15</v>
      </c>
      <c r="T6" s="56"/>
      <c r="U6" s="57"/>
      <c r="V6" s="58"/>
      <c r="W6" s="55" t="s">
        <v>17</v>
      </c>
      <c r="X6" s="66"/>
      <c r="Y6" s="42"/>
      <c r="Z6" s="4"/>
    </row>
    <row r="7" ht="33.0" customHeight="1">
      <c r="A7" s="4"/>
      <c r="B7" s="29"/>
      <c r="C7" s="30"/>
      <c r="D7" s="68"/>
      <c r="E7" s="70"/>
      <c r="F7" s="56"/>
      <c r="G7" s="57"/>
      <c r="H7" s="58"/>
      <c r="I7" s="57"/>
      <c r="J7" s="56"/>
      <c r="K7" s="57"/>
      <c r="L7" s="59"/>
      <c r="M7" s="57"/>
      <c r="N7" s="57"/>
      <c r="O7" s="57"/>
      <c r="P7" s="61"/>
      <c r="Q7" s="57"/>
      <c r="R7" s="58"/>
      <c r="S7" s="57"/>
      <c r="T7" s="56"/>
      <c r="U7" s="57"/>
      <c r="V7" s="58"/>
      <c r="W7" s="57"/>
      <c r="X7" s="66"/>
      <c r="Y7" s="42"/>
      <c r="Z7" s="4"/>
    </row>
    <row r="8" ht="42.75" customHeight="1">
      <c r="A8" s="4"/>
      <c r="B8" s="29"/>
      <c r="C8" s="30"/>
      <c r="D8" s="68"/>
      <c r="E8" s="80" t="s">
        <v>23</v>
      </c>
      <c r="F8" s="56"/>
      <c r="G8" s="57"/>
      <c r="H8" s="58"/>
      <c r="I8" s="80" t="s">
        <v>24</v>
      </c>
      <c r="J8" s="56"/>
      <c r="K8" s="57"/>
      <c r="L8" s="59"/>
      <c r="M8" s="81" t="s">
        <v>25</v>
      </c>
      <c r="N8" s="82"/>
      <c r="O8" s="82"/>
      <c r="P8" s="61"/>
      <c r="Q8" s="62"/>
      <c r="R8" s="58"/>
      <c r="S8" s="80" t="s">
        <v>26</v>
      </c>
      <c r="T8" s="56"/>
      <c r="U8" s="57"/>
      <c r="V8" s="58"/>
      <c r="W8" s="80" t="s">
        <v>27</v>
      </c>
      <c r="X8" s="66"/>
      <c r="Y8" s="42"/>
      <c r="Z8" s="4"/>
    </row>
    <row r="9" ht="30.0" customHeight="1">
      <c r="A9" s="4"/>
      <c r="B9" s="29"/>
      <c r="C9" s="30"/>
      <c r="D9" s="68"/>
      <c r="E9" s="84"/>
      <c r="F9" s="56"/>
      <c r="G9" s="57"/>
      <c r="H9" s="58"/>
      <c r="I9" s="84"/>
      <c r="J9" s="56"/>
      <c r="K9" s="57"/>
      <c r="L9" s="59"/>
      <c r="M9" s="85"/>
      <c r="P9" s="61"/>
      <c r="Q9" s="62"/>
      <c r="R9" s="58"/>
      <c r="S9" s="84"/>
      <c r="T9" s="56"/>
      <c r="U9" s="57"/>
      <c r="V9" s="58"/>
      <c r="W9" s="84"/>
      <c r="X9" s="66"/>
      <c r="Y9" s="42"/>
      <c r="Z9" s="4"/>
    </row>
    <row r="10" ht="33.0" customHeight="1">
      <c r="A10" s="4"/>
      <c r="B10" s="29"/>
      <c r="C10" s="30"/>
      <c r="D10" s="68"/>
      <c r="E10" s="84"/>
      <c r="F10" s="56"/>
      <c r="G10" s="57"/>
      <c r="H10" s="58"/>
      <c r="I10" s="84"/>
      <c r="J10" s="56"/>
      <c r="K10" s="57"/>
      <c r="L10" s="59"/>
      <c r="M10" s="85"/>
      <c r="P10" s="61"/>
      <c r="Q10" s="62"/>
      <c r="R10" s="58"/>
      <c r="S10" s="84"/>
      <c r="T10" s="56"/>
      <c r="U10" s="57"/>
      <c r="V10" s="58"/>
      <c r="W10" s="84"/>
      <c r="X10" s="66"/>
      <c r="Y10" s="42"/>
      <c r="Z10" s="4"/>
    </row>
    <row r="11" ht="14.25" customHeight="1">
      <c r="A11" s="4"/>
      <c r="B11" s="29"/>
      <c r="C11" s="30"/>
      <c r="D11" s="68"/>
      <c r="E11" s="84"/>
      <c r="F11" s="56"/>
      <c r="G11" s="57"/>
      <c r="H11" s="58"/>
      <c r="I11" s="84"/>
      <c r="J11" s="56"/>
      <c r="K11" s="57"/>
      <c r="L11" s="59"/>
      <c r="M11" s="85"/>
      <c r="P11" s="61"/>
      <c r="Q11" s="62"/>
      <c r="R11" s="58"/>
      <c r="S11" s="84"/>
      <c r="T11" s="56"/>
      <c r="U11" s="57"/>
      <c r="V11" s="58"/>
      <c r="W11" s="84"/>
      <c r="X11" s="66"/>
      <c r="Y11" s="42"/>
      <c r="Z11" s="4"/>
    </row>
    <row r="12" ht="33.0" customHeight="1">
      <c r="A12" s="4"/>
      <c r="B12" s="29"/>
      <c r="C12" s="30"/>
      <c r="D12" s="68"/>
      <c r="E12" s="84"/>
      <c r="F12" s="56"/>
      <c r="G12" s="57"/>
      <c r="H12" s="58"/>
      <c r="I12" s="84"/>
      <c r="J12" s="56"/>
      <c r="K12" s="57"/>
      <c r="L12" s="59"/>
      <c r="M12" s="85"/>
      <c r="P12" s="61"/>
      <c r="Q12" s="62"/>
      <c r="R12" s="58"/>
      <c r="S12" s="84"/>
      <c r="T12" s="56"/>
      <c r="U12" s="57"/>
      <c r="V12" s="58"/>
      <c r="W12" s="84"/>
      <c r="X12" s="66"/>
      <c r="Y12" s="42"/>
      <c r="Z12" s="4"/>
    </row>
    <row r="13" ht="33.0" customHeight="1">
      <c r="A13" s="4"/>
      <c r="B13" s="29"/>
      <c r="C13" s="30"/>
      <c r="D13" s="68"/>
      <c r="E13" s="84"/>
      <c r="F13" s="56"/>
      <c r="G13" s="57"/>
      <c r="H13" s="58"/>
      <c r="I13" s="84"/>
      <c r="J13" s="56"/>
      <c r="K13" s="57"/>
      <c r="L13" s="59"/>
      <c r="M13" s="85"/>
      <c r="P13" s="61"/>
      <c r="Q13" s="62"/>
      <c r="R13" s="58"/>
      <c r="S13" s="84"/>
      <c r="T13" s="56"/>
      <c r="U13" s="57"/>
      <c r="V13" s="58"/>
      <c r="W13" s="84"/>
      <c r="X13" s="66"/>
      <c r="Y13" s="42"/>
      <c r="Z13" s="4"/>
    </row>
    <row r="14" ht="33.0" customHeight="1">
      <c r="A14" s="4"/>
      <c r="B14" s="29"/>
      <c r="C14" s="30"/>
      <c r="D14" s="68"/>
      <c r="E14" s="84"/>
      <c r="F14" s="56"/>
      <c r="G14" s="57"/>
      <c r="H14" s="58"/>
      <c r="I14" s="84"/>
      <c r="J14" s="56"/>
      <c r="K14" s="57"/>
      <c r="L14" s="59"/>
      <c r="M14" s="85"/>
      <c r="P14" s="61"/>
      <c r="Q14" s="62"/>
      <c r="R14" s="58"/>
      <c r="S14" s="84"/>
      <c r="T14" s="56"/>
      <c r="U14" s="57"/>
      <c r="V14" s="58"/>
      <c r="W14" s="84"/>
      <c r="X14" s="66"/>
      <c r="Y14" s="42"/>
      <c r="Z14" s="4"/>
    </row>
    <row r="15" ht="33.0" customHeight="1">
      <c r="A15" s="4"/>
      <c r="B15" s="29"/>
      <c r="C15" s="30"/>
      <c r="D15" s="68"/>
      <c r="E15" s="84"/>
      <c r="F15" s="56"/>
      <c r="G15" s="57"/>
      <c r="H15" s="58"/>
      <c r="I15" s="84"/>
      <c r="J15" s="56"/>
      <c r="K15" s="57"/>
      <c r="L15" s="59"/>
      <c r="M15" s="85"/>
      <c r="P15" s="61"/>
      <c r="Q15" s="62"/>
      <c r="R15" s="58"/>
      <c r="S15" s="84"/>
      <c r="T15" s="56"/>
      <c r="U15" s="57"/>
      <c r="V15" s="58"/>
      <c r="W15" s="84"/>
      <c r="X15" s="66"/>
      <c r="Y15" s="42"/>
      <c r="Z15" s="4"/>
    </row>
    <row r="16" ht="14.25" customHeight="1">
      <c r="A16" s="4"/>
      <c r="B16" s="29"/>
      <c r="C16" s="30"/>
      <c r="D16" s="68"/>
      <c r="E16" s="84"/>
      <c r="F16" s="56"/>
      <c r="G16" s="57"/>
      <c r="H16" s="58"/>
      <c r="I16" s="84"/>
      <c r="J16" s="56"/>
      <c r="K16" s="57"/>
      <c r="L16" s="59"/>
      <c r="M16" s="85"/>
      <c r="P16" s="61"/>
      <c r="Q16" s="62"/>
      <c r="R16" s="58"/>
      <c r="S16" s="84"/>
      <c r="T16" s="56"/>
      <c r="U16" s="57"/>
      <c r="V16" s="58"/>
      <c r="W16" s="84"/>
      <c r="X16" s="66"/>
      <c r="Y16" s="42"/>
      <c r="Z16" s="4"/>
    </row>
    <row r="17" ht="18.75" customHeight="1">
      <c r="A17" s="4"/>
      <c r="B17" s="29"/>
      <c r="C17" s="30"/>
      <c r="D17" s="68"/>
      <c r="E17" s="84"/>
      <c r="F17" s="56"/>
      <c r="G17" s="57"/>
      <c r="H17" s="58"/>
      <c r="I17" s="84"/>
      <c r="J17" s="56"/>
      <c r="K17" s="57"/>
      <c r="L17" s="59"/>
      <c r="M17" s="85"/>
      <c r="P17" s="61"/>
      <c r="Q17" s="62"/>
      <c r="R17" s="58"/>
      <c r="S17" s="84"/>
      <c r="T17" s="56"/>
      <c r="U17" s="57"/>
      <c r="V17" s="58"/>
      <c r="W17" s="84"/>
      <c r="X17" s="66"/>
      <c r="Y17" s="42"/>
      <c r="Z17" s="4"/>
    </row>
    <row r="18" ht="14.25" customHeight="1">
      <c r="A18" s="4"/>
      <c r="B18" s="29"/>
      <c r="C18" s="30"/>
      <c r="D18" s="68"/>
      <c r="E18" s="84"/>
      <c r="F18" s="56"/>
      <c r="G18" s="57"/>
      <c r="H18" s="58"/>
      <c r="I18" s="84"/>
      <c r="J18" s="56"/>
      <c r="K18" s="57"/>
      <c r="L18" s="59"/>
      <c r="M18" s="85"/>
      <c r="P18" s="61"/>
      <c r="Q18" s="62"/>
      <c r="R18" s="58"/>
      <c r="S18" s="84"/>
      <c r="T18" s="56"/>
      <c r="U18" s="57"/>
      <c r="V18" s="58"/>
      <c r="W18" s="84"/>
      <c r="X18" s="66"/>
      <c r="Y18" s="42"/>
      <c r="Z18" s="4"/>
    </row>
    <row r="19" ht="15.0" customHeight="1">
      <c r="A19" s="4"/>
      <c r="B19" s="29"/>
      <c r="C19" s="30"/>
      <c r="D19" s="68"/>
      <c r="E19" s="84"/>
      <c r="F19" s="56"/>
      <c r="G19" s="57"/>
      <c r="H19" s="58"/>
      <c r="I19" s="84"/>
      <c r="J19" s="56"/>
      <c r="K19" s="57"/>
      <c r="L19" s="59"/>
      <c r="M19" s="85"/>
      <c r="P19" s="61"/>
      <c r="Q19" s="62"/>
      <c r="R19" s="58"/>
      <c r="S19" s="84"/>
      <c r="T19" s="56"/>
      <c r="U19" s="57"/>
      <c r="V19" s="58"/>
      <c r="W19" s="84"/>
      <c r="X19" s="66"/>
      <c r="Y19" s="42"/>
      <c r="Z19" s="4"/>
    </row>
    <row r="20" ht="14.25" hidden="1" customHeight="1">
      <c r="A20" s="4"/>
      <c r="B20" s="29"/>
      <c r="C20" s="30"/>
      <c r="D20" s="68"/>
      <c r="E20" s="84"/>
      <c r="F20" s="56"/>
      <c r="G20" s="57"/>
      <c r="H20" s="58"/>
      <c r="I20" s="84"/>
      <c r="J20" s="56"/>
      <c r="K20" s="57"/>
      <c r="L20" s="59"/>
      <c r="M20" s="85"/>
      <c r="P20" s="61"/>
      <c r="Q20" s="62"/>
      <c r="R20" s="58"/>
      <c r="S20" s="84"/>
      <c r="T20" s="56"/>
      <c r="U20" s="57"/>
      <c r="V20" s="58"/>
      <c r="W20" s="84"/>
      <c r="X20" s="66"/>
      <c r="Y20" s="42"/>
      <c r="Z20" s="4"/>
    </row>
    <row r="21" ht="14.25" hidden="1" customHeight="1">
      <c r="A21" s="4"/>
      <c r="B21" s="29"/>
      <c r="C21" s="30"/>
      <c r="D21" s="68"/>
      <c r="E21" s="84"/>
      <c r="F21" s="56"/>
      <c r="G21" s="57"/>
      <c r="H21" s="93"/>
      <c r="I21" s="94"/>
      <c r="J21" s="95"/>
      <c r="K21" s="57"/>
      <c r="L21" s="59"/>
      <c r="M21" s="85"/>
      <c r="P21" s="61"/>
      <c r="Q21" s="62"/>
      <c r="R21" s="93"/>
      <c r="S21" s="94"/>
      <c r="T21" s="95"/>
      <c r="U21" s="57"/>
      <c r="V21" s="58"/>
      <c r="W21" s="84"/>
      <c r="X21" s="66"/>
      <c r="Y21" s="42"/>
      <c r="Z21" s="4"/>
    </row>
    <row r="22" ht="3.75" customHeight="1">
      <c r="A22" s="4"/>
      <c r="B22" s="29"/>
      <c r="C22" s="30"/>
      <c r="D22" s="68"/>
      <c r="E22" s="84"/>
      <c r="F22" s="56"/>
      <c r="G22" s="57"/>
      <c r="H22" s="97"/>
      <c r="I22" s="98"/>
      <c r="J22" s="97"/>
      <c r="K22" s="57"/>
      <c r="L22" s="59"/>
      <c r="M22" s="85"/>
      <c r="P22" s="61"/>
      <c r="Q22" s="62"/>
      <c r="R22" s="97"/>
      <c r="S22" s="98"/>
      <c r="T22" s="97"/>
      <c r="U22" s="57"/>
      <c r="V22" s="58"/>
      <c r="W22" s="84"/>
      <c r="X22" s="66"/>
      <c r="Y22" s="42"/>
      <c r="Z22" s="4"/>
    </row>
    <row r="23" ht="14.25" customHeight="1">
      <c r="A23" s="4"/>
      <c r="B23" s="29"/>
      <c r="C23" s="30"/>
      <c r="D23" s="68"/>
      <c r="E23" s="84"/>
      <c r="F23" s="56"/>
      <c r="G23" s="57"/>
      <c r="H23" s="58"/>
      <c r="I23" s="62"/>
      <c r="J23" s="56"/>
      <c r="K23" s="57"/>
      <c r="L23" s="59"/>
      <c r="M23" s="85"/>
      <c r="P23" s="61"/>
      <c r="Q23" s="62"/>
      <c r="R23" s="58"/>
      <c r="S23" s="62"/>
      <c r="T23" s="56"/>
      <c r="U23" s="57"/>
      <c r="V23" s="58"/>
      <c r="W23" s="84"/>
      <c r="X23" s="66"/>
      <c r="Y23" s="42"/>
      <c r="Z23" s="4"/>
    </row>
    <row r="24" ht="18.75" customHeight="1">
      <c r="A24" s="4"/>
      <c r="B24" s="29"/>
      <c r="C24" s="30"/>
      <c r="D24" s="68"/>
      <c r="E24" s="84"/>
      <c r="F24" s="56"/>
      <c r="G24" s="57"/>
      <c r="H24" s="58"/>
      <c r="I24" s="99" t="s">
        <v>39</v>
      </c>
      <c r="J24" s="100"/>
      <c r="K24" s="101"/>
      <c r="L24" s="102"/>
      <c r="M24" s="85"/>
      <c r="P24" s="103"/>
      <c r="Q24" s="101"/>
      <c r="R24" s="104"/>
      <c r="S24" s="99" t="s">
        <v>40</v>
      </c>
      <c r="T24" s="56"/>
      <c r="U24" s="57"/>
      <c r="V24" s="58"/>
      <c r="W24" s="84"/>
      <c r="X24" s="66"/>
      <c r="Y24" s="42"/>
      <c r="Z24" s="4"/>
    </row>
    <row r="25" ht="18.75" customHeight="1">
      <c r="A25" s="4"/>
      <c r="B25" s="29"/>
      <c r="C25" s="30"/>
      <c r="D25" s="68"/>
      <c r="E25" s="84"/>
      <c r="F25" s="56"/>
      <c r="G25" s="57"/>
      <c r="H25" s="58"/>
      <c r="I25" s="62"/>
      <c r="J25" s="56"/>
      <c r="K25" s="57"/>
      <c r="L25" s="59"/>
      <c r="M25" s="85"/>
      <c r="P25" s="61"/>
      <c r="Q25" s="57"/>
      <c r="R25" s="58"/>
      <c r="S25" s="105"/>
      <c r="T25" s="56"/>
      <c r="U25" s="57"/>
      <c r="V25" s="58"/>
      <c r="W25" s="84"/>
      <c r="X25" s="66"/>
      <c r="Y25" s="42"/>
      <c r="Z25" s="4"/>
    </row>
    <row r="26" ht="18.75" customHeight="1">
      <c r="A26" s="4"/>
      <c r="B26" s="29"/>
      <c r="C26" s="30"/>
      <c r="D26" s="68"/>
      <c r="E26" s="84"/>
      <c r="F26" s="56"/>
      <c r="G26" s="57"/>
      <c r="H26" s="58"/>
      <c r="I26" s="80" t="s">
        <v>41</v>
      </c>
      <c r="J26" s="56"/>
      <c r="K26" s="57"/>
      <c r="L26" s="59"/>
      <c r="M26" s="85"/>
      <c r="P26" s="61"/>
      <c r="Q26" s="57"/>
      <c r="R26" s="58"/>
      <c r="S26" s="80" t="s">
        <v>42</v>
      </c>
      <c r="T26" s="56"/>
      <c r="U26" s="57"/>
      <c r="V26" s="58"/>
      <c r="W26" s="84"/>
      <c r="X26" s="66"/>
      <c r="Y26" s="42"/>
      <c r="Z26" s="4"/>
    </row>
    <row r="27" ht="18.75" customHeight="1">
      <c r="A27" s="4"/>
      <c r="B27" s="29"/>
      <c r="C27" s="30"/>
      <c r="D27" s="68"/>
      <c r="E27" s="84"/>
      <c r="F27" s="56"/>
      <c r="G27" s="57"/>
      <c r="H27" s="58"/>
      <c r="I27" s="84"/>
      <c r="J27" s="56"/>
      <c r="K27" s="57"/>
      <c r="L27" s="59"/>
      <c r="M27" s="85"/>
      <c r="P27" s="61"/>
      <c r="Q27" s="57"/>
      <c r="R27" s="58"/>
      <c r="S27" s="84"/>
      <c r="T27" s="56"/>
      <c r="U27" s="57"/>
      <c r="V27" s="58"/>
      <c r="W27" s="84"/>
      <c r="X27" s="66"/>
      <c r="Y27" s="42"/>
      <c r="Z27" s="4"/>
    </row>
    <row r="28" ht="18.75" customHeight="1">
      <c r="A28" s="4"/>
      <c r="B28" s="29"/>
      <c r="C28" s="30"/>
      <c r="D28" s="68"/>
      <c r="E28" s="84"/>
      <c r="F28" s="56"/>
      <c r="G28" s="57"/>
      <c r="H28" s="58"/>
      <c r="I28" s="84"/>
      <c r="J28" s="56"/>
      <c r="K28" s="57"/>
      <c r="L28" s="59"/>
      <c r="M28" s="85"/>
      <c r="P28" s="61"/>
      <c r="Q28" s="57"/>
      <c r="R28" s="58"/>
      <c r="S28" s="84"/>
      <c r="T28" s="56"/>
      <c r="U28" s="57"/>
      <c r="V28" s="58"/>
      <c r="W28" s="84"/>
      <c r="X28" s="66"/>
      <c r="Y28" s="42"/>
      <c r="Z28" s="4"/>
    </row>
    <row r="29" ht="18.75" customHeight="1">
      <c r="A29" s="4"/>
      <c r="B29" s="29"/>
      <c r="C29" s="30"/>
      <c r="D29" s="68"/>
      <c r="E29" s="84"/>
      <c r="F29" s="56"/>
      <c r="G29" s="57"/>
      <c r="H29" s="58"/>
      <c r="I29" s="84"/>
      <c r="J29" s="56"/>
      <c r="K29" s="57"/>
      <c r="L29" s="59"/>
      <c r="M29" s="85"/>
      <c r="P29" s="61"/>
      <c r="Q29" s="57"/>
      <c r="R29" s="58"/>
      <c r="S29" s="84"/>
      <c r="T29" s="56"/>
      <c r="U29" s="57"/>
      <c r="V29" s="58"/>
      <c r="W29" s="84"/>
      <c r="X29" s="66"/>
      <c r="Y29" s="42"/>
      <c r="Z29" s="4"/>
    </row>
    <row r="30" ht="18.75" customHeight="1">
      <c r="A30" s="4"/>
      <c r="B30" s="29"/>
      <c r="C30" s="30"/>
      <c r="D30" s="68"/>
      <c r="E30" s="84"/>
      <c r="F30" s="56"/>
      <c r="G30" s="57"/>
      <c r="H30" s="58"/>
      <c r="I30" s="84"/>
      <c r="J30" s="56"/>
      <c r="K30" s="57"/>
      <c r="L30" s="59"/>
      <c r="M30" s="85"/>
      <c r="P30" s="61"/>
      <c r="Q30" s="57"/>
      <c r="R30" s="58"/>
      <c r="S30" s="84"/>
      <c r="T30" s="56"/>
      <c r="U30" s="57"/>
      <c r="V30" s="58"/>
      <c r="W30" s="84"/>
      <c r="X30" s="66"/>
      <c r="Y30" s="42"/>
      <c r="Z30" s="4"/>
    </row>
    <row r="31" ht="18.75" customHeight="1">
      <c r="A31" s="4"/>
      <c r="B31" s="29"/>
      <c r="C31" s="30"/>
      <c r="D31" s="68"/>
      <c r="E31" s="84"/>
      <c r="F31" s="56"/>
      <c r="G31" s="57"/>
      <c r="H31" s="58"/>
      <c r="I31" s="84"/>
      <c r="J31" s="56"/>
      <c r="K31" s="57"/>
      <c r="L31" s="59"/>
      <c r="M31" s="85"/>
      <c r="P31" s="61"/>
      <c r="Q31" s="57"/>
      <c r="R31" s="58"/>
      <c r="S31" s="84"/>
      <c r="T31" s="56"/>
      <c r="U31" s="57"/>
      <c r="V31" s="58"/>
      <c r="W31" s="84"/>
      <c r="X31" s="66"/>
      <c r="Y31" s="42"/>
      <c r="Z31" s="4"/>
    </row>
    <row r="32" ht="18.75" customHeight="1">
      <c r="A32" s="4"/>
      <c r="B32" s="29"/>
      <c r="C32" s="30"/>
      <c r="D32" s="68"/>
      <c r="E32" s="84"/>
      <c r="F32" s="56"/>
      <c r="G32" s="57"/>
      <c r="H32" s="58"/>
      <c r="I32" s="84"/>
      <c r="J32" s="56"/>
      <c r="K32" s="57"/>
      <c r="L32" s="59"/>
      <c r="M32" s="85"/>
      <c r="P32" s="61"/>
      <c r="Q32" s="57"/>
      <c r="R32" s="58"/>
      <c r="S32" s="84"/>
      <c r="T32" s="56"/>
      <c r="U32" s="57"/>
      <c r="V32" s="58"/>
      <c r="W32" s="84"/>
      <c r="X32" s="66"/>
      <c r="Y32" s="42"/>
      <c r="Z32" s="4"/>
    </row>
    <row r="33" ht="76.5" customHeight="1">
      <c r="A33" s="4"/>
      <c r="B33" s="29"/>
      <c r="C33" s="30"/>
      <c r="D33" s="68"/>
      <c r="E33" s="84"/>
      <c r="F33" s="56"/>
      <c r="G33" s="57"/>
      <c r="H33" s="58"/>
      <c r="I33" s="84"/>
      <c r="J33" s="56"/>
      <c r="K33" s="57"/>
      <c r="L33" s="59"/>
      <c r="M33" s="85"/>
      <c r="P33" s="61"/>
      <c r="Q33" s="57"/>
      <c r="R33" s="58"/>
      <c r="S33" s="84"/>
      <c r="T33" s="56"/>
      <c r="U33" s="57"/>
      <c r="V33" s="58"/>
      <c r="W33" s="84"/>
      <c r="X33" s="66"/>
      <c r="Y33" s="42"/>
      <c r="Z33" s="4"/>
    </row>
    <row r="34" ht="18.75" hidden="1" customHeight="1">
      <c r="A34" s="4"/>
      <c r="B34" s="29"/>
      <c r="C34" s="30"/>
      <c r="D34" s="68"/>
      <c r="E34" s="84"/>
      <c r="F34" s="56"/>
      <c r="G34" s="57"/>
      <c r="H34" s="58"/>
      <c r="I34" s="84"/>
      <c r="J34" s="56"/>
      <c r="K34" s="57"/>
      <c r="L34" s="59"/>
      <c r="M34" s="85"/>
      <c r="P34" s="61"/>
      <c r="Q34" s="57"/>
      <c r="R34" s="58"/>
      <c r="S34" s="84"/>
      <c r="T34" s="56"/>
      <c r="U34" s="57"/>
      <c r="V34" s="58"/>
      <c r="W34" s="84"/>
      <c r="X34" s="66"/>
      <c r="Y34" s="42"/>
      <c r="Z34" s="4"/>
    </row>
    <row r="35" ht="18.75" hidden="1" customHeight="1">
      <c r="A35" s="4"/>
      <c r="B35" s="29"/>
      <c r="C35" s="30"/>
      <c r="D35" s="68"/>
      <c r="E35" s="84"/>
      <c r="F35" s="56"/>
      <c r="G35" s="57"/>
      <c r="H35" s="58"/>
      <c r="I35" s="84"/>
      <c r="J35" s="56"/>
      <c r="K35" s="57"/>
      <c r="L35" s="59"/>
      <c r="M35" s="85"/>
      <c r="P35" s="61"/>
      <c r="Q35" s="57"/>
      <c r="R35" s="58"/>
      <c r="S35" s="84"/>
      <c r="T35" s="56"/>
      <c r="U35" s="57"/>
      <c r="V35" s="58"/>
      <c r="W35" s="84"/>
      <c r="X35" s="66"/>
      <c r="Y35" s="42"/>
      <c r="Z35" s="4"/>
    </row>
    <row r="36" ht="18.75" hidden="1" customHeight="1">
      <c r="A36" s="4"/>
      <c r="B36" s="29"/>
      <c r="C36" s="30"/>
      <c r="D36" s="68"/>
      <c r="E36" s="84"/>
      <c r="F36" s="56"/>
      <c r="G36" s="57"/>
      <c r="H36" s="58"/>
      <c r="I36" s="84"/>
      <c r="J36" s="56"/>
      <c r="K36" s="57"/>
      <c r="L36" s="59"/>
      <c r="M36" s="85"/>
      <c r="P36" s="61"/>
      <c r="Q36" s="57"/>
      <c r="R36" s="58"/>
      <c r="S36" s="84"/>
      <c r="T36" s="56"/>
      <c r="U36" s="57"/>
      <c r="V36" s="58"/>
      <c r="W36" s="84"/>
      <c r="X36" s="66"/>
      <c r="Y36" s="42"/>
      <c r="Z36" s="4"/>
    </row>
    <row r="37" ht="18.75" hidden="1" customHeight="1">
      <c r="A37" s="4"/>
      <c r="B37" s="29"/>
      <c r="C37" s="30"/>
      <c r="D37" s="68"/>
      <c r="E37" s="84"/>
      <c r="F37" s="56"/>
      <c r="G37" s="57"/>
      <c r="H37" s="58"/>
      <c r="I37" s="84"/>
      <c r="J37" s="56"/>
      <c r="K37" s="57"/>
      <c r="L37" s="59"/>
      <c r="M37" s="85"/>
      <c r="P37" s="61"/>
      <c r="Q37" s="57"/>
      <c r="R37" s="58"/>
      <c r="S37" s="84"/>
      <c r="T37" s="56"/>
      <c r="U37" s="57"/>
      <c r="V37" s="58"/>
      <c r="W37" s="84"/>
      <c r="X37" s="66"/>
      <c r="Y37" s="42"/>
      <c r="Z37" s="4"/>
    </row>
    <row r="38" ht="18.75" hidden="1" customHeight="1">
      <c r="A38" s="4"/>
      <c r="B38" s="29"/>
      <c r="C38" s="30"/>
      <c r="D38" s="106"/>
      <c r="E38" s="94"/>
      <c r="F38" s="95"/>
      <c r="G38" s="57"/>
      <c r="H38" s="93"/>
      <c r="I38" s="94"/>
      <c r="J38" s="95"/>
      <c r="K38" s="57"/>
      <c r="L38" s="107"/>
      <c r="M38" s="108"/>
      <c r="N38" s="109"/>
      <c r="O38" s="109"/>
      <c r="P38" s="110"/>
      <c r="Q38" s="57"/>
      <c r="R38" s="93"/>
      <c r="S38" s="94"/>
      <c r="T38" s="95"/>
      <c r="U38" s="57"/>
      <c r="V38" s="93"/>
      <c r="W38" s="94"/>
      <c r="X38" s="111"/>
      <c r="Y38" s="42"/>
      <c r="Z38" s="4"/>
    </row>
    <row r="39" ht="3.75" hidden="1" customHeight="1">
      <c r="A39" s="4"/>
      <c r="B39" s="29"/>
      <c r="C39" s="30"/>
      <c r="D39" s="54"/>
      <c r="E39" s="57"/>
      <c r="F39" s="57"/>
      <c r="G39" s="57"/>
      <c r="H39" s="57"/>
      <c r="I39" s="57"/>
      <c r="J39" s="57"/>
      <c r="K39" s="57"/>
      <c r="L39" s="57"/>
      <c r="M39" s="57"/>
      <c r="N39" s="57"/>
      <c r="O39" s="57"/>
      <c r="P39" s="57"/>
      <c r="Q39" s="57"/>
      <c r="R39" s="57"/>
      <c r="S39" s="57"/>
      <c r="T39" s="57"/>
      <c r="U39" s="57"/>
      <c r="V39" s="57"/>
      <c r="W39" s="57"/>
      <c r="X39" s="66"/>
      <c r="Y39" s="42"/>
      <c r="Z39" s="4"/>
    </row>
    <row r="40" ht="18.75" customHeight="1">
      <c r="A40" s="4"/>
      <c r="B40" s="29"/>
      <c r="C40" s="30"/>
      <c r="D40" s="112"/>
      <c r="E40" s="113"/>
      <c r="F40" s="113"/>
      <c r="G40" s="113"/>
      <c r="H40" s="113"/>
      <c r="I40" s="113"/>
      <c r="J40" s="113"/>
      <c r="K40" s="113"/>
      <c r="L40" s="113"/>
      <c r="M40" s="114"/>
      <c r="N40" s="57"/>
      <c r="O40" s="115"/>
      <c r="P40" s="113"/>
      <c r="Q40" s="113"/>
      <c r="R40" s="113"/>
      <c r="S40" s="113"/>
      <c r="T40" s="113"/>
      <c r="U40" s="113"/>
      <c r="V40" s="113"/>
      <c r="W40" s="113"/>
      <c r="X40" s="116"/>
      <c r="Y40" s="42"/>
      <c r="Z40" s="4"/>
    </row>
    <row r="41" ht="18.75" customHeight="1">
      <c r="A41" s="4"/>
      <c r="B41" s="29"/>
      <c r="C41" s="30"/>
      <c r="D41" s="54"/>
      <c r="E41" s="60" t="s">
        <v>43</v>
      </c>
      <c r="F41" s="6"/>
      <c r="G41" s="6"/>
      <c r="H41" s="6"/>
      <c r="I41" s="6"/>
      <c r="J41" s="6"/>
      <c r="K41" s="6"/>
      <c r="L41" s="6"/>
      <c r="M41" s="117"/>
      <c r="N41" s="57"/>
      <c r="O41" s="118" t="s">
        <v>44</v>
      </c>
      <c r="P41" s="6"/>
      <c r="Q41" s="6"/>
      <c r="R41" s="6"/>
      <c r="S41" s="6"/>
      <c r="T41" s="6"/>
      <c r="U41" s="6"/>
      <c r="V41" s="6"/>
      <c r="W41" s="6"/>
      <c r="X41" s="66"/>
      <c r="Y41" s="42"/>
      <c r="Z41" s="4"/>
    </row>
    <row r="42" ht="18.75" customHeight="1">
      <c r="A42" s="4"/>
      <c r="B42" s="29"/>
      <c r="C42" s="30"/>
      <c r="D42" s="54"/>
      <c r="E42" s="57"/>
      <c r="F42" s="57"/>
      <c r="G42" s="57"/>
      <c r="H42" s="57"/>
      <c r="I42" s="57"/>
      <c r="J42" s="57"/>
      <c r="K42" s="57"/>
      <c r="L42" s="57"/>
      <c r="M42" s="56"/>
      <c r="N42" s="57"/>
      <c r="O42" s="58"/>
      <c r="P42" s="57"/>
      <c r="Q42" s="57"/>
      <c r="R42" s="57"/>
      <c r="S42" s="57"/>
      <c r="T42" s="57"/>
      <c r="U42" s="57"/>
      <c r="V42" s="57"/>
      <c r="W42" s="57"/>
      <c r="X42" s="66"/>
      <c r="Y42" s="42"/>
      <c r="Z42" s="4"/>
    </row>
    <row r="43" ht="18.75" customHeight="1">
      <c r="A43" s="4"/>
      <c r="B43" s="29"/>
      <c r="C43" s="30"/>
      <c r="D43" s="54"/>
      <c r="E43" s="81" t="s">
        <v>45</v>
      </c>
      <c r="F43" s="82"/>
      <c r="G43" s="82"/>
      <c r="H43" s="82"/>
      <c r="I43" s="82"/>
      <c r="J43" s="82"/>
      <c r="K43" s="82"/>
      <c r="L43" s="82"/>
      <c r="M43" s="119"/>
      <c r="N43" s="57"/>
      <c r="O43" s="120" t="s">
        <v>46</v>
      </c>
      <c r="P43" s="82"/>
      <c r="Q43" s="82"/>
      <c r="R43" s="82"/>
      <c r="S43" s="82"/>
      <c r="T43" s="82"/>
      <c r="U43" s="82"/>
      <c r="V43" s="82"/>
      <c r="W43" s="82"/>
      <c r="X43" s="66"/>
      <c r="Y43" s="42"/>
      <c r="Z43" s="4"/>
    </row>
    <row r="44" ht="18.75" customHeight="1">
      <c r="A44" s="4"/>
      <c r="B44" s="29"/>
      <c r="C44" s="30"/>
      <c r="D44" s="54"/>
      <c r="E44" s="85"/>
      <c r="M44" s="121"/>
      <c r="N44" s="57"/>
      <c r="O44" s="122"/>
      <c r="X44" s="66"/>
      <c r="Y44" s="42"/>
      <c r="Z44" s="4"/>
    </row>
    <row r="45" ht="18.75" customHeight="1">
      <c r="A45" s="4"/>
      <c r="B45" s="29"/>
      <c r="C45" s="30"/>
      <c r="D45" s="54"/>
      <c r="E45" s="85"/>
      <c r="M45" s="121"/>
      <c r="N45" s="57"/>
      <c r="O45" s="122"/>
      <c r="X45" s="66"/>
      <c r="Y45" s="42"/>
      <c r="Z45" s="4"/>
    </row>
    <row r="46" ht="18.75" customHeight="1">
      <c r="A46" s="4"/>
      <c r="B46" s="29"/>
      <c r="C46" s="30"/>
      <c r="D46" s="54"/>
      <c r="E46" s="85"/>
      <c r="M46" s="121"/>
      <c r="N46" s="57"/>
      <c r="O46" s="122"/>
      <c r="X46" s="66"/>
      <c r="Y46" s="42"/>
      <c r="Z46" s="4"/>
    </row>
    <row r="47" ht="18.75" customHeight="1">
      <c r="A47" s="4"/>
      <c r="B47" s="29"/>
      <c r="C47" s="30"/>
      <c r="D47" s="54"/>
      <c r="E47" s="85"/>
      <c r="M47" s="121"/>
      <c r="N47" s="57"/>
      <c r="O47" s="122"/>
      <c r="X47" s="66"/>
      <c r="Y47" s="42"/>
      <c r="Z47" s="4"/>
    </row>
    <row r="48" ht="18.75" customHeight="1">
      <c r="A48" s="4"/>
      <c r="B48" s="29"/>
      <c r="C48" s="30"/>
      <c r="D48" s="54"/>
      <c r="E48" s="85"/>
      <c r="M48" s="121"/>
      <c r="N48" s="57"/>
      <c r="O48" s="122"/>
      <c r="X48" s="66"/>
      <c r="Y48" s="42"/>
      <c r="Z48" s="4"/>
    </row>
    <row r="49" ht="18.75" customHeight="1">
      <c r="A49" s="4"/>
      <c r="B49" s="29"/>
      <c r="C49" s="30"/>
      <c r="D49" s="54"/>
      <c r="E49" s="85"/>
      <c r="M49" s="121"/>
      <c r="N49" s="57"/>
      <c r="O49" s="122"/>
      <c r="X49" s="66"/>
      <c r="Y49" s="42"/>
      <c r="Z49" s="4"/>
    </row>
    <row r="50" ht="18.75" customHeight="1">
      <c r="A50" s="4"/>
      <c r="B50" s="29"/>
      <c r="C50" s="30"/>
      <c r="D50" s="54"/>
      <c r="E50" s="85"/>
      <c r="M50" s="121"/>
      <c r="N50" s="57"/>
      <c r="O50" s="122"/>
      <c r="X50" s="66"/>
      <c r="Y50" s="42"/>
      <c r="Z50" s="4"/>
    </row>
    <row r="51" ht="18.75" customHeight="1">
      <c r="A51" s="4"/>
      <c r="B51" s="29"/>
      <c r="C51" s="30"/>
      <c r="D51" s="54"/>
      <c r="E51" s="85"/>
      <c r="M51" s="121"/>
      <c r="N51" s="57"/>
      <c r="O51" s="122"/>
      <c r="X51" s="66"/>
      <c r="Y51" s="42"/>
      <c r="Z51" s="4"/>
    </row>
    <row r="52" ht="18.75" customHeight="1">
      <c r="A52" s="4"/>
      <c r="B52" s="29"/>
      <c r="C52" s="30"/>
      <c r="D52" s="54"/>
      <c r="E52" s="85"/>
      <c r="M52" s="121"/>
      <c r="N52" s="57"/>
      <c r="O52" s="122"/>
      <c r="X52" s="66"/>
      <c r="Y52" s="42"/>
      <c r="Z52" s="4"/>
    </row>
    <row r="53" ht="18.75" customHeight="1">
      <c r="A53" s="4"/>
      <c r="B53" s="29"/>
      <c r="C53" s="30"/>
      <c r="D53" s="54"/>
      <c r="E53" s="85"/>
      <c r="M53" s="121"/>
      <c r="N53" s="57"/>
      <c r="O53" s="122"/>
      <c r="X53" s="66"/>
      <c r="Y53" s="42"/>
      <c r="Z53" s="4"/>
    </row>
    <row r="54" ht="18.75" customHeight="1">
      <c r="A54" s="4"/>
      <c r="B54" s="29"/>
      <c r="C54" s="30"/>
      <c r="D54" s="54"/>
      <c r="E54" s="85"/>
      <c r="M54" s="121"/>
      <c r="N54" s="57"/>
      <c r="O54" s="122"/>
      <c r="X54" s="66"/>
      <c r="Y54" s="42"/>
      <c r="Z54" s="4"/>
    </row>
    <row r="55" ht="18.75" customHeight="1">
      <c r="A55" s="4"/>
      <c r="B55" s="29"/>
      <c r="C55" s="30"/>
      <c r="D55" s="54"/>
      <c r="E55" s="85"/>
      <c r="M55" s="121"/>
      <c r="N55" s="57"/>
      <c r="O55" s="122"/>
      <c r="X55" s="66"/>
      <c r="Y55" s="42"/>
      <c r="Z55" s="4"/>
    </row>
    <row r="56" ht="18.75" customHeight="1">
      <c r="A56" s="4"/>
      <c r="B56" s="29"/>
      <c r="C56" s="30"/>
      <c r="D56" s="54"/>
      <c r="E56" s="85"/>
      <c r="M56" s="121"/>
      <c r="N56" s="57"/>
      <c r="O56" s="122"/>
      <c r="X56" s="66"/>
      <c r="Y56" s="42"/>
      <c r="Z56" s="4"/>
    </row>
    <row r="57" ht="18.75" customHeight="1">
      <c r="A57" s="4"/>
      <c r="B57" s="29"/>
      <c r="C57" s="30"/>
      <c r="D57" s="54"/>
      <c r="E57" s="85"/>
      <c r="M57" s="121"/>
      <c r="N57" s="57"/>
      <c r="O57" s="122"/>
      <c r="X57" s="66"/>
      <c r="Y57" s="42"/>
      <c r="Z57" s="4"/>
    </row>
    <row r="58" ht="18.75" customHeight="1">
      <c r="A58" s="4"/>
      <c r="B58" s="29"/>
      <c r="C58" s="30"/>
      <c r="D58" s="54"/>
      <c r="E58" s="85"/>
      <c r="M58" s="121"/>
      <c r="N58" s="57"/>
      <c r="O58" s="122"/>
      <c r="X58" s="66"/>
      <c r="Y58" s="42"/>
      <c r="Z58" s="4"/>
    </row>
    <row r="59" ht="18.75" customHeight="1">
      <c r="A59" s="4"/>
      <c r="B59" s="29"/>
      <c r="C59" s="30"/>
      <c r="D59" s="33"/>
      <c r="E59" s="123"/>
      <c r="F59" s="124"/>
      <c r="G59" s="124"/>
      <c r="H59" s="124"/>
      <c r="I59" s="124"/>
      <c r="J59" s="124"/>
      <c r="K59" s="124"/>
      <c r="L59" s="124"/>
      <c r="M59" s="125"/>
      <c r="N59" s="126"/>
      <c r="O59" s="127"/>
      <c r="P59" s="124"/>
      <c r="Q59" s="124"/>
      <c r="R59" s="124"/>
      <c r="S59" s="124"/>
      <c r="T59" s="124"/>
      <c r="U59" s="124"/>
      <c r="V59" s="124"/>
      <c r="W59" s="124"/>
      <c r="X59" s="41"/>
      <c r="Y59" s="42"/>
      <c r="Z59" s="4"/>
    </row>
    <row r="60" ht="18.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5">
    <mergeCell ref="I8:I21"/>
    <mergeCell ref="I26:I38"/>
    <mergeCell ref="S26:S38"/>
    <mergeCell ref="E41:M41"/>
    <mergeCell ref="E43:M59"/>
    <mergeCell ref="O43:W59"/>
    <mergeCell ref="I3:M3"/>
    <mergeCell ref="O3:S3"/>
    <mergeCell ref="M6:O6"/>
    <mergeCell ref="M8:O38"/>
    <mergeCell ref="S8:S21"/>
    <mergeCell ref="W8:W38"/>
    <mergeCell ref="O41:W41"/>
    <mergeCell ref="E8:E38"/>
    <mergeCell ref="E3:E4"/>
  </mergeCells>
  <printOptions horizontalCentered="1" verticalCentered="1"/>
  <pageMargins bottom="0.0" footer="0.0" header="0.0" left="0.0" right="0.0" top="0.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sheetPr>
  <sheetViews>
    <sheetView workbookViewId="0"/>
  </sheetViews>
  <sheetFormatPr customHeight="1" defaultColWidth="12.63" defaultRowHeight="15.0"/>
  <cols>
    <col customWidth="1" min="1" max="1" width="10.63"/>
    <col customWidth="1" min="2" max="2" width="16.0"/>
    <col customWidth="1" min="3" max="3" width="12.75"/>
    <col customWidth="1" min="4" max="4" width="10.63"/>
    <col customWidth="1" min="5" max="5" width="11.63"/>
    <col customWidth="1" min="6" max="26" width="10.63"/>
  </cols>
  <sheetData>
    <row r="1" ht="12.75" customHeight="1">
      <c r="B1" s="1"/>
      <c r="C1" s="2"/>
      <c r="D1" s="3"/>
      <c r="E1" s="3"/>
      <c r="F1" s="3"/>
      <c r="G1" s="3"/>
      <c r="H1" s="3"/>
      <c r="I1" s="3"/>
      <c r="J1" s="3"/>
      <c r="K1" s="3"/>
      <c r="L1" s="3"/>
      <c r="M1" s="3"/>
      <c r="N1" s="3"/>
      <c r="O1" s="3"/>
      <c r="P1" s="3"/>
    </row>
    <row r="2" ht="12.75" customHeight="1">
      <c r="B2" s="5" t="s">
        <v>0</v>
      </c>
      <c r="C2" s="6"/>
      <c r="D2" s="6"/>
      <c r="E2" s="6"/>
      <c r="F2" s="6"/>
      <c r="I2" s="3"/>
      <c r="J2" s="3"/>
      <c r="K2" s="3"/>
      <c r="L2" s="3"/>
      <c r="M2" s="3"/>
      <c r="N2" s="3"/>
      <c r="O2" s="3"/>
      <c r="P2" s="3"/>
    </row>
    <row r="3" ht="12.75" customHeight="1"/>
    <row r="4" ht="12.75" customHeight="1"/>
    <row r="5" ht="12.75" customHeight="1">
      <c r="E5" s="1"/>
      <c r="F5" s="1"/>
      <c r="G5" s="1"/>
      <c r="H5" s="1"/>
      <c r="I5" s="1"/>
      <c r="J5" s="1"/>
      <c r="K5" s="1"/>
      <c r="L5" s="1"/>
    </row>
    <row r="6" ht="12.75" customHeight="1">
      <c r="E6" s="1"/>
      <c r="F6" s="1"/>
      <c r="G6" s="1"/>
      <c r="H6" s="1"/>
      <c r="I6" s="1"/>
      <c r="J6" s="1"/>
      <c r="K6" s="1"/>
      <c r="L6" s="1"/>
    </row>
    <row r="7" ht="12.75" customHeight="1">
      <c r="B7" s="8" t="s">
        <v>1</v>
      </c>
      <c r="E7" s="1"/>
      <c r="F7" s="1"/>
      <c r="G7" s="1"/>
      <c r="H7" s="1"/>
      <c r="I7" s="1"/>
      <c r="J7" s="1"/>
      <c r="K7" s="1"/>
      <c r="L7" s="1"/>
    </row>
    <row r="8" ht="12.75" customHeight="1">
      <c r="B8" s="11">
        <v>1.0</v>
      </c>
      <c r="E8" s="1"/>
      <c r="F8" s="1"/>
      <c r="G8" s="1"/>
      <c r="H8" s="1"/>
      <c r="I8" s="1"/>
      <c r="J8" s="1"/>
      <c r="K8" s="1"/>
      <c r="L8" s="1"/>
    </row>
    <row r="9" ht="12.75" customHeight="1">
      <c r="B9" s="11">
        <v>2.0</v>
      </c>
      <c r="E9" s="1"/>
      <c r="F9" s="1"/>
      <c r="G9" s="1"/>
      <c r="H9" s="1"/>
      <c r="I9" s="1"/>
      <c r="J9" s="1"/>
      <c r="K9" s="1"/>
      <c r="L9" s="1"/>
    </row>
    <row r="10" ht="12.75" customHeight="1">
      <c r="B10" s="11">
        <v>3.0</v>
      </c>
      <c r="E10" s="1"/>
      <c r="F10" s="1"/>
      <c r="G10" s="1"/>
      <c r="H10" s="1"/>
      <c r="I10" s="1"/>
      <c r="J10" s="1"/>
      <c r="K10" s="1"/>
      <c r="L10" s="1"/>
    </row>
    <row r="11" ht="12.75" customHeight="1">
      <c r="B11" s="11">
        <v>4.0</v>
      </c>
      <c r="E11" s="1"/>
      <c r="F11" s="1"/>
      <c r="G11" s="1"/>
      <c r="H11" s="1"/>
      <c r="I11" s="1"/>
      <c r="J11" s="1"/>
      <c r="K11" s="1"/>
      <c r="L11" s="1"/>
    </row>
    <row r="12" ht="12.75" customHeight="1">
      <c r="B12" s="15">
        <v>5.0</v>
      </c>
    </row>
    <row r="13" ht="12.75" customHeight="1"/>
    <row r="14" ht="12.75" customHeight="1">
      <c r="B14" s="8" t="s">
        <v>2</v>
      </c>
      <c r="E14" s="17"/>
      <c r="F14" s="17"/>
      <c r="G14" s="17" t="s">
        <v>4</v>
      </c>
      <c r="H14" s="17"/>
      <c r="I14" s="17"/>
    </row>
    <row r="15" ht="12.75" customHeight="1">
      <c r="B15" s="11">
        <f>B8</f>
        <v>1</v>
      </c>
      <c r="E15" s="17"/>
      <c r="F15" s="17"/>
      <c r="G15" s="31" t="str">
        <f t="shared" ref="G15:G16" si="1">#REF!</f>
        <v>#REF!</v>
      </c>
      <c r="H15" s="17"/>
      <c r="I15" s="17"/>
    </row>
    <row r="16" ht="12.75" customHeight="1">
      <c r="B16" s="38">
        <f>B12</f>
        <v>5</v>
      </c>
      <c r="E16" s="17"/>
      <c r="F16" s="17"/>
      <c r="G16" s="31" t="str">
        <f t="shared" si="1"/>
        <v>#REF!</v>
      </c>
      <c r="H16" s="17"/>
      <c r="I16" s="17"/>
    </row>
    <row r="17" ht="12.75" customHeight="1">
      <c r="E17" s="17"/>
      <c r="F17" s="17"/>
      <c r="G17" s="17"/>
      <c r="H17" s="17"/>
      <c r="I17" s="17"/>
    </row>
    <row r="18" ht="12.75" customHeight="1">
      <c r="B18" s="8" t="s">
        <v>10</v>
      </c>
    </row>
    <row r="19" ht="12.75" customHeight="1">
      <c r="B19" s="11">
        <v>1.0</v>
      </c>
    </row>
    <row r="20" ht="12.75" customHeight="1">
      <c r="B20" s="11">
        <v>2.0</v>
      </c>
    </row>
    <row r="21" ht="12.75" customHeight="1">
      <c r="B21" s="11">
        <v>3.0</v>
      </c>
    </row>
    <row r="22" ht="12.75" customHeight="1">
      <c r="B22" s="15">
        <v>4.0</v>
      </c>
    </row>
    <row r="23" ht="12.75" customHeight="1"/>
    <row r="24" ht="12.75" customHeight="1"/>
    <row r="25" ht="12.75" customHeight="1">
      <c r="B25" s="1"/>
    </row>
    <row r="26" ht="12.75" customHeight="1">
      <c r="B26" s="1"/>
      <c r="C26" s="44"/>
    </row>
    <row r="27" ht="12.75" customHeight="1">
      <c r="B27" s="1"/>
    </row>
    <row r="28" ht="12.75" customHeight="1">
      <c r="B28" s="1"/>
    </row>
    <row r="29" ht="12.75" customHeight="1">
      <c r="C29" s="48"/>
    </row>
    <row r="30" ht="12.75" customHeight="1">
      <c r="C30" s="48"/>
    </row>
    <row r="31" ht="12.75" customHeight="1">
      <c r="C31" s="48"/>
    </row>
    <row r="32" ht="12.75" customHeight="1">
      <c r="C32" s="48"/>
    </row>
    <row r="33" ht="12.75" customHeight="1">
      <c r="C33" s="48"/>
    </row>
    <row r="34" ht="12.75" customHeight="1">
      <c r="C34" s="48"/>
    </row>
    <row r="35" ht="12.75" customHeight="1">
      <c r="C35" s="48"/>
    </row>
    <row r="36" ht="12.75" customHeight="1">
      <c r="C36" s="48"/>
    </row>
    <row r="37" ht="12.75" customHeight="1">
      <c r="C37" s="48"/>
    </row>
    <row r="38" ht="12.75" customHeight="1">
      <c r="C38" s="48"/>
    </row>
    <row r="39" ht="12.75" customHeight="1">
      <c r="C39" s="48"/>
    </row>
    <row r="40" ht="12.75" customHeight="1">
      <c r="C40" s="48"/>
    </row>
    <row r="41" ht="12.75" customHeight="1">
      <c r="C41" s="48"/>
    </row>
    <row r="42" ht="12.75" customHeight="1">
      <c r="C42" s="48"/>
    </row>
    <row r="43" ht="12.75" customHeight="1">
      <c r="C43" s="48"/>
    </row>
    <row r="44" ht="12.75" customHeight="1">
      <c r="C44" s="48"/>
    </row>
    <row r="45" ht="12.75" customHeight="1">
      <c r="C45" s="48"/>
    </row>
    <row r="46" ht="12.75" customHeight="1">
      <c r="C46" s="48"/>
    </row>
    <row r="47" ht="12.75" customHeight="1">
      <c r="C47" s="48"/>
    </row>
    <row r="48" ht="12.75" customHeight="1">
      <c r="C48" s="48"/>
    </row>
    <row r="49" ht="12.75" customHeight="1">
      <c r="C49" s="48"/>
    </row>
    <row r="50" ht="12.75" customHeight="1">
      <c r="C50" s="48"/>
    </row>
    <row r="51" ht="12.75" customHeight="1">
      <c r="C51" s="48"/>
    </row>
    <row r="52" ht="12.75" customHeight="1">
      <c r="C52" s="48"/>
    </row>
    <row r="53" ht="12.75" customHeight="1">
      <c r="C53" s="48"/>
    </row>
    <row r="54" ht="12.75" customHeight="1">
      <c r="C54" s="48"/>
    </row>
    <row r="55" ht="12.75" customHeight="1">
      <c r="C55" s="48"/>
    </row>
    <row r="56" ht="12.75" customHeight="1">
      <c r="C56" s="48"/>
    </row>
    <row r="57" ht="12.75" customHeight="1">
      <c r="C57" s="48"/>
    </row>
    <row r="58" ht="12.75" customHeight="1">
      <c r="C58" s="48"/>
    </row>
    <row r="59" ht="12.75" customHeight="1">
      <c r="C59" s="48"/>
    </row>
    <row r="60" ht="12.75" customHeight="1">
      <c r="C60" s="48"/>
    </row>
    <row r="61" ht="12.75" customHeight="1">
      <c r="C61" s="48"/>
    </row>
    <row r="62" ht="12.75" customHeight="1">
      <c r="C62" s="48"/>
    </row>
    <row r="63" ht="12.75" customHeight="1">
      <c r="C63" s="48"/>
    </row>
    <row r="64" ht="12.75" customHeight="1">
      <c r="C64" s="48"/>
    </row>
    <row r="65" ht="12.75" customHeight="1">
      <c r="C65" s="48"/>
    </row>
    <row r="66" ht="12.75" customHeight="1">
      <c r="C66" s="48"/>
    </row>
    <row r="67" ht="12.75" customHeight="1">
      <c r="C67" s="48"/>
    </row>
    <row r="68" ht="12.75" customHeight="1">
      <c r="C68" s="48"/>
    </row>
    <row r="69" ht="12.75" customHeight="1">
      <c r="C69" s="48"/>
    </row>
    <row r="70" ht="12.75" customHeight="1">
      <c r="C70" s="48"/>
    </row>
    <row r="71" ht="12.75" customHeight="1">
      <c r="C71" s="48"/>
    </row>
    <row r="72" ht="12.75" customHeight="1">
      <c r="C72" s="48"/>
    </row>
    <row r="73" ht="12.75" customHeight="1">
      <c r="C73" s="48"/>
    </row>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2:F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showGridLines="0" workbookViewId="0">
      <pane xSplit="77.0" ySplit="194.0" topLeftCell="BZ195" activePane="bottomRight" state="frozen"/>
      <selection activeCell="BZ1" sqref="BZ1" pane="topRight"/>
      <selection activeCell="A195" sqref="A195" pane="bottomLeft"/>
      <selection activeCell="BZ195" sqref="BZ195" pane="bottomRight"/>
    </sheetView>
  </sheetViews>
  <sheetFormatPr customHeight="1" defaultColWidth="12.63" defaultRowHeight="15.0"/>
  <cols>
    <col customWidth="1" min="1" max="78" width="10.63"/>
  </cols>
  <sheetData>
    <row r="1" ht="12.75" hidden="1" customHeight="1"/>
    <row r="2" ht="12.75" hidden="1" customHeight="1">
      <c r="A2" s="12"/>
      <c r="B2" s="13"/>
      <c r="C2" s="13"/>
      <c r="D2" s="13"/>
      <c r="E2" s="13"/>
      <c r="F2" s="13"/>
      <c r="G2" s="13"/>
      <c r="H2" s="13"/>
      <c r="I2" s="13"/>
      <c r="J2" s="13"/>
      <c r="K2" s="13"/>
      <c r="L2" s="13"/>
      <c r="M2" s="13"/>
      <c r="N2" s="21"/>
    </row>
    <row r="3" ht="12.75" hidden="1" customHeight="1">
      <c r="A3" s="23"/>
      <c r="B3" s="25" t="s">
        <v>7</v>
      </c>
      <c r="C3" s="26"/>
      <c r="D3" s="28" t="s">
        <v>9</v>
      </c>
      <c r="E3" s="28"/>
      <c r="F3" s="28"/>
      <c r="G3" s="28"/>
      <c r="H3" s="28"/>
      <c r="I3" s="28"/>
      <c r="J3" s="28"/>
      <c r="K3" s="28"/>
      <c r="L3" s="28"/>
      <c r="M3" s="28"/>
      <c r="N3" s="32"/>
    </row>
    <row r="4" ht="12.75" hidden="1" customHeight="1">
      <c r="A4" s="35"/>
      <c r="B4" s="36"/>
      <c r="C4" s="36"/>
      <c r="D4" s="36"/>
      <c r="E4" s="36"/>
      <c r="F4" s="36"/>
      <c r="G4" s="36"/>
      <c r="H4" s="36"/>
      <c r="I4" s="36"/>
      <c r="J4" s="36"/>
      <c r="K4" s="36"/>
      <c r="L4" s="36"/>
      <c r="M4" s="36"/>
      <c r="N4" s="40"/>
    </row>
    <row r="5" ht="12.75" hidden="1" customHeight="1">
      <c r="A5" s="35"/>
      <c r="B5" s="43" t="str">
        <f>$F$12</f>
        <v>#REF!</v>
      </c>
      <c r="C5" s="46" t="str">
        <f>+G14</f>
        <v>#REF!</v>
      </c>
      <c r="D5" s="46" t="str">
        <f>+G15</f>
        <v>#REF!</v>
      </c>
      <c r="E5" s="46" t="str">
        <f>+G16</f>
        <v>#REF!</v>
      </c>
      <c r="F5" s="46" t="str">
        <f>+G17</f>
        <v>#REF!</v>
      </c>
      <c r="G5" s="46" t="str">
        <f>+G18</f>
        <v>#REF!</v>
      </c>
      <c r="H5" s="46" t="str">
        <f>+G19</f>
        <v>#REF!</v>
      </c>
      <c r="I5" s="46" t="str">
        <f>+G20</f>
        <v>#REF!</v>
      </c>
      <c r="J5" s="46" t="str">
        <f>+G21</f>
        <v>#REF!</v>
      </c>
      <c r="K5" s="46" t="str">
        <f>+G22</f>
        <v>#REF!</v>
      </c>
      <c r="L5" s="46" t="str">
        <f>+G23</f>
        <v>#REF!</v>
      </c>
      <c r="M5" s="46" t="str">
        <f>+G24</f>
        <v>#REF!</v>
      </c>
      <c r="N5" s="40"/>
    </row>
    <row r="6" ht="12.75" hidden="1" customHeight="1">
      <c r="A6" s="35"/>
      <c r="B6" s="36"/>
      <c r="C6" s="36"/>
      <c r="D6" s="36"/>
      <c r="E6" s="36"/>
      <c r="F6" s="36"/>
      <c r="G6" s="36"/>
      <c r="H6" s="36"/>
      <c r="I6" s="36"/>
      <c r="J6" s="36"/>
      <c r="K6" s="36"/>
      <c r="L6" s="36"/>
      <c r="M6" s="36"/>
      <c r="N6" s="40"/>
    </row>
    <row r="7" ht="12.75" hidden="1" customHeight="1">
      <c r="A7" s="35"/>
      <c r="B7" s="36"/>
      <c r="C7" s="36"/>
      <c r="D7" s="36"/>
      <c r="E7" s="36"/>
      <c r="F7" s="36"/>
      <c r="G7" s="36"/>
      <c r="H7" s="36"/>
      <c r="I7" s="36"/>
      <c r="J7" s="36"/>
      <c r="K7" s="36"/>
      <c r="L7" s="36"/>
      <c r="M7" s="36"/>
      <c r="N7" s="40"/>
    </row>
    <row r="8" ht="12.75" hidden="1" customHeight="1">
      <c r="A8" s="35"/>
      <c r="B8" s="36"/>
      <c r="C8" s="36"/>
      <c r="D8" s="36"/>
      <c r="E8" s="36"/>
      <c r="F8" s="36"/>
      <c r="G8" s="36"/>
      <c r="H8" s="36"/>
      <c r="I8" s="36"/>
      <c r="J8" s="36"/>
      <c r="K8" s="36"/>
      <c r="L8" s="36"/>
      <c r="M8" s="36"/>
      <c r="N8" s="40"/>
    </row>
    <row r="9" ht="12.75" hidden="1" customHeight="1">
      <c r="A9" s="35"/>
      <c r="B9" s="36"/>
      <c r="C9" s="36"/>
      <c r="D9" s="36"/>
      <c r="E9" s="36"/>
      <c r="F9" s="36"/>
      <c r="G9" s="36"/>
      <c r="H9" s="36"/>
      <c r="I9" s="36"/>
      <c r="J9" s="36"/>
      <c r="K9" s="36"/>
      <c r="L9" s="36"/>
      <c r="M9" s="36"/>
      <c r="N9" s="40"/>
    </row>
    <row r="10" ht="12.75" hidden="1" customHeight="1">
      <c r="A10" s="63"/>
      <c r="B10" s="36" t="s">
        <v>14</v>
      </c>
      <c r="C10" s="36"/>
      <c r="D10" s="64" t="s">
        <v>16</v>
      </c>
      <c r="E10" s="65"/>
      <c r="F10" s="36"/>
      <c r="G10" s="36"/>
      <c r="H10" s="36"/>
      <c r="I10" s="36"/>
      <c r="J10" s="36"/>
      <c r="K10" s="36"/>
      <c r="L10" s="36"/>
      <c r="M10" s="36"/>
      <c r="N10" s="40"/>
    </row>
    <row r="11" ht="12.75" hidden="1" customHeight="1">
      <c r="A11" s="63"/>
      <c r="B11" s="36"/>
      <c r="C11" s="36"/>
      <c r="D11" s="67"/>
      <c r="E11" s="69" t="s">
        <v>18</v>
      </c>
      <c r="F11" s="71"/>
      <c r="G11" s="71"/>
      <c r="H11" s="72"/>
      <c r="I11" s="73"/>
      <c r="J11" s="73"/>
      <c r="K11" s="73"/>
      <c r="L11" s="73"/>
      <c r="M11" s="73"/>
      <c r="N11" s="74"/>
    </row>
    <row r="12" ht="12.75" hidden="1" customHeight="1">
      <c r="A12" s="35"/>
      <c r="B12" s="75" t="s">
        <v>19</v>
      </c>
      <c r="C12" s="36"/>
      <c r="D12" s="76" t="s">
        <v>20</v>
      </c>
      <c r="E12" s="36" t="s">
        <v>21</v>
      </c>
      <c r="F12" s="77" t="str">
        <f>#REF!</f>
        <v>#REF!</v>
      </c>
      <c r="G12" s="36"/>
      <c r="H12" s="78"/>
      <c r="I12" s="36"/>
      <c r="J12" s="36"/>
      <c r="K12" s="36"/>
      <c r="L12" s="36"/>
      <c r="M12" s="36"/>
      <c r="N12" s="40"/>
    </row>
    <row r="13" ht="12.75" hidden="1" customHeight="1">
      <c r="A13" s="35"/>
      <c r="B13" s="73" t="s">
        <v>22</v>
      </c>
      <c r="C13" s="36"/>
      <c r="D13" s="79">
        <v>1.0</v>
      </c>
      <c r="E13" s="79" t="str">
        <f t="shared" ref="E13:E24" si="1">B13</f>
        <v>Enero</v>
      </c>
      <c r="F13" s="36" t="str">
        <f>IF(F$12=$B$13,1,0)+IF(F$12=$B$14,2,0)+IF(F$12=$B$15,3,0)+IF(F$12=$B$16,4,0)+IF(F$12=$B$17,5,0)+IF(F$12=$B$18,6,0)+IF(F$12=$B$19,7,0)+IF(F$12=$B$20,8,0)+IF(F$12=$B$21,9,0)+IF(F$12=$B$22,10,0)+IF(F$12=$B$23,11,0)+IF(F$12=$B$24,12,0)</f>
        <v>#REF!</v>
      </c>
      <c r="G13" s="36"/>
      <c r="H13" s="78"/>
      <c r="I13" s="36"/>
      <c r="J13" s="36"/>
      <c r="K13" s="36"/>
      <c r="L13" s="36"/>
      <c r="M13" s="36"/>
      <c r="N13" s="40"/>
    </row>
    <row r="14" ht="12.75" hidden="1" customHeight="1">
      <c r="A14" s="35"/>
      <c r="B14" s="73" t="s">
        <v>28</v>
      </c>
      <c r="C14" s="36"/>
      <c r="D14" s="83">
        <v>2.0</v>
      </c>
      <c r="E14" s="83" t="str">
        <f t="shared" si="1"/>
        <v>Febrero</v>
      </c>
      <c r="F14" s="36" t="str">
        <f t="shared" ref="F14:F24" si="2">IF(F13=12,1,F13+1)</f>
        <v>#REF!</v>
      </c>
      <c r="G14" s="36" t="str">
        <f>LOOKUP(F14,NUMES,BUSCARMES)</f>
        <v>#REF!</v>
      </c>
      <c r="H14" s="78"/>
      <c r="I14" s="36"/>
      <c r="J14" s="36"/>
      <c r="K14" s="36"/>
      <c r="L14" s="36"/>
      <c r="M14" s="36"/>
      <c r="N14" s="40"/>
    </row>
    <row r="15" ht="12.75" hidden="1" customHeight="1">
      <c r="A15" s="35"/>
      <c r="B15" s="73" t="s">
        <v>29</v>
      </c>
      <c r="C15" s="36"/>
      <c r="D15" s="83">
        <v>3.0</v>
      </c>
      <c r="E15" s="83" t="str">
        <f t="shared" si="1"/>
        <v>Marzo</v>
      </c>
      <c r="F15" s="36" t="str">
        <f t="shared" si="2"/>
        <v>#REF!</v>
      </c>
      <c r="G15" s="36" t="str">
        <f>LOOKUP(F15,NUMES,BUSCARMES)</f>
        <v>#REF!</v>
      </c>
      <c r="H15" s="78"/>
      <c r="I15" s="36"/>
      <c r="J15" s="36"/>
      <c r="K15" s="36"/>
      <c r="L15" s="36"/>
      <c r="M15" s="36"/>
      <c r="N15" s="40"/>
    </row>
    <row r="16" ht="12.75" hidden="1" customHeight="1">
      <c r="A16" s="35"/>
      <c r="B16" s="73" t="s">
        <v>30</v>
      </c>
      <c r="C16" s="36"/>
      <c r="D16" s="83">
        <v>4.0</v>
      </c>
      <c r="E16" s="83" t="str">
        <f t="shared" si="1"/>
        <v>Abril</v>
      </c>
      <c r="F16" s="36" t="str">
        <f t="shared" si="2"/>
        <v>#REF!</v>
      </c>
      <c r="G16" s="36" t="str">
        <f>LOOKUP(F16,NUMES,BUSCARMES)</f>
        <v>#REF!</v>
      </c>
      <c r="H16" s="78"/>
      <c r="I16" s="36"/>
      <c r="J16" s="36"/>
      <c r="K16" s="36"/>
      <c r="L16" s="36"/>
      <c r="M16" s="36"/>
      <c r="N16" s="40"/>
    </row>
    <row r="17" ht="12.75" hidden="1" customHeight="1">
      <c r="A17" s="35"/>
      <c r="B17" s="73" t="s">
        <v>31</v>
      </c>
      <c r="C17" s="36"/>
      <c r="D17" s="83">
        <v>5.0</v>
      </c>
      <c r="E17" s="83" t="str">
        <f t="shared" si="1"/>
        <v>Mayo</v>
      </c>
      <c r="F17" s="36" t="str">
        <f t="shared" si="2"/>
        <v>#REF!</v>
      </c>
      <c r="G17" s="36" t="str">
        <f>LOOKUP(F17,NUMES,BUSCARMES)</f>
        <v>#REF!</v>
      </c>
      <c r="H17" s="78"/>
      <c r="I17" s="36"/>
      <c r="J17" s="36"/>
      <c r="K17" s="36"/>
      <c r="L17" s="36"/>
      <c r="M17" s="36"/>
      <c r="N17" s="40"/>
    </row>
    <row r="18" ht="12.75" hidden="1" customHeight="1">
      <c r="A18" s="35"/>
      <c r="B18" s="73" t="s">
        <v>32</v>
      </c>
      <c r="C18" s="36"/>
      <c r="D18" s="83">
        <v>6.0</v>
      </c>
      <c r="E18" s="83" t="str">
        <f t="shared" si="1"/>
        <v>Junio</v>
      </c>
      <c r="F18" s="36" t="str">
        <f t="shared" si="2"/>
        <v>#REF!</v>
      </c>
      <c r="G18" s="36" t="str">
        <f>LOOKUP(F18,NUMES,BUSCARMES)</f>
        <v>#REF!</v>
      </c>
      <c r="H18" s="78"/>
      <c r="I18" s="36"/>
      <c r="J18" s="36"/>
      <c r="K18" s="36"/>
      <c r="L18" s="36"/>
      <c r="M18" s="36"/>
      <c r="N18" s="40"/>
    </row>
    <row r="19" ht="12.75" hidden="1" customHeight="1">
      <c r="A19" s="35"/>
      <c r="B19" s="73" t="s">
        <v>33</v>
      </c>
      <c r="C19" s="36"/>
      <c r="D19" s="83">
        <v>7.0</v>
      </c>
      <c r="E19" s="83" t="str">
        <f t="shared" si="1"/>
        <v>Julio</v>
      </c>
      <c r="F19" s="36" t="str">
        <f t="shared" si="2"/>
        <v>#REF!</v>
      </c>
      <c r="G19" s="36" t="str">
        <f>LOOKUP(F19,NUMES,BUSCARMES)</f>
        <v>#REF!</v>
      </c>
      <c r="H19" s="78"/>
      <c r="I19" s="36"/>
      <c r="J19" s="36"/>
      <c r="K19" s="36"/>
      <c r="L19" s="36"/>
      <c r="M19" s="36"/>
      <c r="N19" s="40"/>
    </row>
    <row r="20" ht="12.75" hidden="1" customHeight="1">
      <c r="A20" s="35"/>
      <c r="B20" s="73" t="s">
        <v>34</v>
      </c>
      <c r="C20" s="36"/>
      <c r="D20" s="83">
        <v>8.0</v>
      </c>
      <c r="E20" s="83" t="str">
        <f t="shared" si="1"/>
        <v>Agosto</v>
      </c>
      <c r="F20" s="36" t="str">
        <f t="shared" si="2"/>
        <v>#REF!</v>
      </c>
      <c r="G20" s="36" t="str">
        <f>LOOKUP(F20,NUMES,BUSCARMES)</f>
        <v>#REF!</v>
      </c>
      <c r="H20" s="78"/>
      <c r="I20" s="36"/>
      <c r="J20" s="36"/>
      <c r="K20" s="36"/>
      <c r="L20" s="36"/>
      <c r="M20" s="36"/>
      <c r="N20" s="40"/>
    </row>
    <row r="21" ht="12.75" hidden="1" customHeight="1">
      <c r="A21" s="35"/>
      <c r="B21" s="73" t="s">
        <v>35</v>
      </c>
      <c r="C21" s="36"/>
      <c r="D21" s="83">
        <v>9.0</v>
      </c>
      <c r="E21" s="83" t="str">
        <f t="shared" si="1"/>
        <v>Septiembre</v>
      </c>
      <c r="F21" s="36" t="str">
        <f t="shared" si="2"/>
        <v>#REF!</v>
      </c>
      <c r="G21" s="36" t="str">
        <f>LOOKUP(F21,NUMES,BUSCARMES)</f>
        <v>#REF!</v>
      </c>
      <c r="H21" s="78"/>
      <c r="I21" s="36"/>
      <c r="J21" s="36"/>
      <c r="K21" s="36"/>
      <c r="L21" s="36"/>
      <c r="M21" s="36"/>
      <c r="N21" s="40"/>
    </row>
    <row r="22" ht="12.75" hidden="1" customHeight="1">
      <c r="A22" s="35"/>
      <c r="B22" s="73" t="s">
        <v>36</v>
      </c>
      <c r="C22" s="36"/>
      <c r="D22" s="83">
        <v>10.0</v>
      </c>
      <c r="E22" s="83" t="str">
        <f t="shared" si="1"/>
        <v>Octubre</v>
      </c>
      <c r="F22" s="36" t="str">
        <f t="shared" si="2"/>
        <v>#REF!</v>
      </c>
      <c r="G22" s="36" t="str">
        <f>LOOKUP(F22,NUMES,BUSCARMES)</f>
        <v>#REF!</v>
      </c>
      <c r="H22" s="78"/>
      <c r="I22" s="36"/>
      <c r="J22" s="36"/>
      <c r="K22" s="36"/>
      <c r="L22" s="36"/>
      <c r="M22" s="36"/>
      <c r="N22" s="40"/>
    </row>
    <row r="23" ht="12.75" hidden="1" customHeight="1">
      <c r="A23" s="63"/>
      <c r="B23" s="73" t="s">
        <v>37</v>
      </c>
      <c r="C23" s="36"/>
      <c r="D23" s="83">
        <v>11.0</v>
      </c>
      <c r="E23" s="83" t="str">
        <f t="shared" si="1"/>
        <v>Noviembre</v>
      </c>
      <c r="F23" s="36" t="str">
        <f t="shared" si="2"/>
        <v>#REF!</v>
      </c>
      <c r="G23" s="36" t="str">
        <f>LOOKUP(F23,NUMES,BUSCARMES)</f>
        <v>#REF!</v>
      </c>
      <c r="H23" s="78"/>
      <c r="I23" s="36"/>
      <c r="J23" s="36"/>
      <c r="K23" s="36"/>
      <c r="L23" s="36"/>
      <c r="M23" s="36"/>
      <c r="N23" s="40"/>
    </row>
    <row r="24" ht="12.75" hidden="1" customHeight="1">
      <c r="A24" s="63"/>
      <c r="B24" s="73" t="s">
        <v>38</v>
      </c>
      <c r="C24" s="36"/>
      <c r="D24" s="86">
        <v>12.0</v>
      </c>
      <c r="E24" s="86" t="str">
        <f t="shared" si="1"/>
        <v>Diciembre</v>
      </c>
      <c r="F24" s="87" t="str">
        <f t="shared" si="2"/>
        <v>#REF!</v>
      </c>
      <c r="G24" s="87" t="str">
        <f>LOOKUP(F24,NUMES,BUSCARMES)</f>
        <v>#REF!</v>
      </c>
      <c r="H24" s="88"/>
      <c r="I24" s="36"/>
      <c r="J24" s="36"/>
      <c r="K24" s="36"/>
      <c r="L24" s="36"/>
      <c r="M24" s="36"/>
      <c r="N24" s="40"/>
    </row>
    <row r="25" ht="12.75" hidden="1" customHeight="1">
      <c r="A25" s="89"/>
      <c r="B25" s="90"/>
      <c r="C25" s="91"/>
      <c r="D25" s="91"/>
      <c r="E25" s="91"/>
      <c r="F25" s="91"/>
      <c r="G25" s="91"/>
      <c r="H25" s="91"/>
      <c r="I25" s="91"/>
      <c r="J25" s="91"/>
      <c r="K25" s="91"/>
      <c r="L25" s="91"/>
      <c r="M25" s="91"/>
      <c r="N25" s="92"/>
    </row>
    <row r="26" ht="12.75" hidden="1" customHeight="1"/>
    <row r="27" ht="12.75" hidden="1" customHeight="1"/>
    <row r="28" ht="12.75" hidden="1" customHeight="1"/>
    <row r="29" ht="12.75" hidden="1" customHeight="1"/>
    <row r="30" ht="12.75" hidden="1" customHeight="1"/>
    <row r="31" ht="12.75" hidden="1" customHeight="1"/>
    <row r="32" ht="12.75" hidden="1" customHeight="1"/>
    <row r="33" ht="12.75" customHeight="1">
      <c r="B33" s="1"/>
      <c r="C33" s="1"/>
      <c r="D33" s="1"/>
      <c r="E33" s="1"/>
      <c r="F33" s="1"/>
      <c r="G33" s="1"/>
      <c r="H33" s="1"/>
      <c r="I33" s="1"/>
      <c r="J33" s="1"/>
      <c r="K33" s="1"/>
    </row>
    <row r="34" ht="12.75" customHeight="1">
      <c r="B34" s="1"/>
      <c r="C34" s="1"/>
      <c r="D34" s="1"/>
      <c r="E34" s="1"/>
      <c r="F34" s="1"/>
      <c r="G34" s="1"/>
      <c r="H34" s="1"/>
      <c r="I34" s="1"/>
      <c r="J34" s="1"/>
      <c r="K34" s="1"/>
    </row>
    <row r="35" ht="12.75" customHeight="1">
      <c r="B35" s="1"/>
      <c r="C35" s="1"/>
      <c r="D35" s="1"/>
      <c r="E35" s="1"/>
      <c r="F35" s="1"/>
      <c r="G35" s="1"/>
      <c r="H35" s="1"/>
      <c r="I35" s="1"/>
      <c r="J35" s="1"/>
      <c r="K35" s="1"/>
    </row>
    <row r="36" ht="12.75" customHeight="1">
      <c r="B36" s="1"/>
      <c r="C36" s="1"/>
      <c r="D36" s="1"/>
      <c r="E36" s="1"/>
      <c r="F36" s="1"/>
      <c r="G36" s="1"/>
      <c r="H36" s="1"/>
      <c r="I36" s="1"/>
      <c r="J36" s="1"/>
      <c r="K36" s="1"/>
    </row>
    <row r="37" ht="12.75" customHeight="1">
      <c r="B37" s="1"/>
      <c r="C37" s="1"/>
      <c r="D37" s="1"/>
      <c r="E37" s="1"/>
      <c r="F37" s="1"/>
      <c r="G37" s="1"/>
      <c r="H37" s="1"/>
      <c r="I37" s="1"/>
      <c r="J37" s="1"/>
      <c r="K37" s="1"/>
    </row>
    <row r="38" ht="12.75" customHeight="1">
      <c r="B38" s="1"/>
      <c r="C38" s="1"/>
      <c r="D38" s="1"/>
      <c r="E38" s="1"/>
      <c r="F38" s="1"/>
      <c r="G38" s="1"/>
      <c r="H38" s="1"/>
      <c r="I38" s="1"/>
      <c r="J38" s="1"/>
      <c r="K38" s="1"/>
    </row>
    <row r="39" ht="12.75" customHeight="1">
      <c r="B39" s="1"/>
      <c r="C39" s="1"/>
      <c r="D39" s="1"/>
      <c r="E39" s="1"/>
      <c r="F39" s="1"/>
      <c r="G39" s="1"/>
      <c r="H39" s="1"/>
      <c r="I39" s="1"/>
      <c r="J39" s="1"/>
      <c r="K39" s="1"/>
    </row>
    <row r="40" ht="12.75" customHeight="1">
      <c r="I40" s="1"/>
      <c r="J40" s="1"/>
      <c r="K40" s="1"/>
    </row>
    <row r="41" ht="12.75" customHeight="1">
      <c r="I41" s="1"/>
      <c r="J41" s="1"/>
      <c r="K41" s="1"/>
    </row>
    <row r="42" ht="12.75" customHeight="1">
      <c r="I42" s="1"/>
      <c r="J42" s="1"/>
      <c r="K42" s="1"/>
    </row>
    <row r="43" ht="12.75" customHeight="1">
      <c r="I43" s="1"/>
      <c r="J43" s="1"/>
      <c r="K43" s="1"/>
    </row>
    <row r="44" ht="12.75" customHeight="1">
      <c r="I44" s="1"/>
      <c r="J44" s="1"/>
      <c r="K44" s="1"/>
    </row>
    <row r="45" ht="12.75" customHeight="1">
      <c r="I45" s="1"/>
      <c r="J45" s="1"/>
      <c r="K45" s="1"/>
    </row>
    <row r="46" ht="12.75" customHeight="1">
      <c r="I46" s="1"/>
      <c r="J46" s="1"/>
      <c r="K46" s="1"/>
    </row>
    <row r="47" ht="12.75" customHeight="1">
      <c r="I47" s="1"/>
      <c r="J47" s="1"/>
      <c r="K47" s="1"/>
    </row>
    <row r="48" ht="12.75" customHeight="1">
      <c r="I48" s="1"/>
      <c r="J48" s="1"/>
      <c r="K48" s="1"/>
    </row>
    <row r="49" ht="12.75" customHeight="1">
      <c r="I49" s="1"/>
      <c r="J49" s="1"/>
      <c r="K49" s="1"/>
    </row>
    <row r="50" ht="12.75" customHeight="1">
      <c r="I50" s="1"/>
      <c r="J50" s="1"/>
      <c r="K50" s="1"/>
    </row>
    <row r="51" ht="12.75" customHeight="1">
      <c r="I51" s="1"/>
      <c r="J51" s="1"/>
      <c r="K51" s="1"/>
    </row>
    <row r="52" ht="12.75" customHeight="1">
      <c r="B52" s="1"/>
      <c r="C52" s="96"/>
      <c r="G52" s="1"/>
      <c r="H52" s="1"/>
      <c r="I52" s="1"/>
      <c r="J52" s="1"/>
      <c r="K52" s="1"/>
    </row>
    <row r="53" ht="12.75" customHeight="1">
      <c r="B53" s="1"/>
      <c r="C53" s="1"/>
      <c r="D53" s="1"/>
      <c r="E53" s="1"/>
      <c r="F53" s="1"/>
      <c r="G53" s="1"/>
      <c r="H53" s="1"/>
      <c r="I53" s="1"/>
      <c r="J53" s="1"/>
      <c r="K53" s="1"/>
    </row>
    <row r="54" ht="12.75" customHeight="1">
      <c r="B54" s="1"/>
      <c r="C54" s="1"/>
      <c r="D54" s="1"/>
      <c r="E54" s="1"/>
      <c r="F54" s="1"/>
      <c r="G54" s="1"/>
      <c r="H54" s="1"/>
      <c r="I54" s="1"/>
      <c r="J54" s="1"/>
      <c r="K54" s="1"/>
    </row>
    <row r="55" ht="12.75" customHeight="1">
      <c r="B55" s="1"/>
      <c r="C55" s="1"/>
      <c r="D55" s="1"/>
      <c r="E55" s="1"/>
      <c r="F55" s="1"/>
      <c r="G55" s="1"/>
      <c r="H55" s="1"/>
      <c r="I55" s="1"/>
      <c r="J55" s="1"/>
      <c r="K55" s="1"/>
    </row>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D10:E10"/>
    <mergeCell ref="E11:H11"/>
    <mergeCell ref="C52:F5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2011-05-31T13:53:54Z</dcterms:created>
</cp:coreProperties>
</file>